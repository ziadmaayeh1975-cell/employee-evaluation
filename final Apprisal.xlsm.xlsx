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ad.a\Desktop\"/>
    </mc:Choice>
  </mc:AlternateContent>
  <xr:revisionPtr revIDLastSave="0" documentId="13_ncr:1_{C8D9613D-B041-465A-A3EB-AF3C4B88DF54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EMPLOYEES" sheetId="1" state="veryHidden" r:id="rId1"/>
    <sheet name="KPIs" sheetId="2" state="veryHidden" r:id="rId2"/>
    <sheet name="MONTHS" sheetId="3" state="veryHidden" r:id="rId3"/>
    <sheet name="INPUT" sheetId="7" state="veryHidden" r:id="rId4"/>
    <sheet name="AUTO_MONTHLY" sheetId="5" state="veryHidden" r:id="rId5"/>
    <sheet name="DATA" sheetId="8" state="veryHidden" r:id="rId6"/>
    <sheet name="تنبيه" sheetId="10" r:id="rId7"/>
    <sheet name="YEARLY_SUMMARY" sheetId="6" state="veryHidden" r:id="rId8"/>
    <sheet name="نموذج التقييم النهائي" sheetId="9" state="veryHidden" r:id="rId9"/>
  </sheets>
  <definedNames>
    <definedName name="_xlnm._FilterDatabase" localSheetId="4" hidden="1">AUTO_MONTHLY!$B$1:$B$609</definedName>
    <definedName name="_xlnm._FilterDatabase" localSheetId="0" hidden="1">EMPLOYEES!$A$1:$B$50</definedName>
    <definedName name="KPI_ACC">KPIs!$B$2:$B$11</definedName>
    <definedName name="KPI_HR">KPIs!$B$12:$B$21</definedName>
    <definedName name="KPI_محاسب">KPIs!$B$2:$B$11</definedName>
    <definedName name="KPI_منسق">KPIs!$B$12:$B$21</definedName>
    <definedName name="KPI_منسق_موارد_بشرية">KPIs!$B$12:$B$21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1" i="2" l="1"/>
  <c r="D261" i="2" l="1"/>
  <c r="D251" i="2"/>
  <c r="D241" i="2"/>
  <c r="D231" i="2"/>
  <c r="D221" i="2"/>
  <c r="D211" i="2"/>
  <c r="D201" i="2"/>
  <c r="D191" i="2"/>
  <c r="D181" i="2"/>
  <c r="D171" i="2"/>
  <c r="D161" i="2"/>
  <c r="D151" i="2"/>
  <c r="D141" i="2"/>
  <c r="D131" i="2"/>
  <c r="D121" i="2"/>
  <c r="D111" i="2"/>
  <c r="D101" i="2"/>
  <c r="D91" i="2"/>
  <c r="D81" i="2"/>
  <c r="D71" i="2"/>
  <c r="D61" i="2"/>
  <c r="D51" i="2"/>
  <c r="D41" i="2"/>
  <c r="D31" i="2"/>
  <c r="D21" i="2"/>
  <c r="D11" i="2"/>
  <c r="C29" i="5"/>
  <c r="B40" i="6"/>
  <c r="B41" i="6"/>
  <c r="B42" i="6"/>
  <c r="C41" i="6"/>
  <c r="C42" i="6"/>
  <c r="C35" i="6"/>
  <c r="C36" i="6"/>
  <c r="C37" i="6"/>
  <c r="B39" i="6"/>
  <c r="A26" i="9" l="1" a="1"/>
  <c r="A26" i="9" s="1"/>
  <c r="D6" i="5"/>
  <c r="D7" i="5"/>
  <c r="D8" i="5"/>
  <c r="D9" i="5"/>
  <c r="D10" i="5"/>
  <c r="D11" i="5"/>
  <c r="D12" i="5"/>
  <c r="D3" i="5"/>
  <c r="D4" i="5"/>
  <c r="D5" i="5"/>
  <c r="C3" i="5"/>
  <c r="C4" i="5"/>
  <c r="C5" i="5"/>
  <c r="C39" i="6" s="1"/>
  <c r="C6" i="5"/>
  <c r="C7" i="5"/>
  <c r="C8" i="5"/>
  <c r="C9" i="5"/>
  <c r="C10" i="5"/>
  <c r="C11" i="5"/>
  <c r="C12" i="5"/>
  <c r="C13" i="5"/>
  <c r="B7" i="9"/>
  <c r="B6" i="9"/>
  <c r="B8" i="9"/>
  <c r="B32" i="9" s="1"/>
  <c r="D32" i="9"/>
  <c r="G17" i="9" a="1"/>
  <c r="G17" i="9" s="1"/>
  <c r="B9" i="9"/>
  <c r="B5" i="9"/>
  <c r="A19" i="9" s="1" a="1"/>
  <c r="A19" i="9" s="1"/>
  <c r="B38" i="6"/>
  <c r="B37" i="6"/>
  <c r="B36" i="6"/>
  <c r="B35" i="6"/>
  <c r="B34" i="6"/>
  <c r="C33" i="6"/>
  <c r="B33" i="6"/>
  <c r="C32" i="6"/>
  <c r="B32" i="6"/>
  <c r="C31" i="6"/>
  <c r="D31" i="6" s="1"/>
  <c r="B31" i="6"/>
  <c r="C30" i="6"/>
  <c r="D30" i="6" s="1"/>
  <c r="B30" i="6"/>
  <c r="C29" i="6"/>
  <c r="D29" i="6" s="1"/>
  <c r="B29" i="6"/>
  <c r="B28" i="6"/>
  <c r="C27" i="6"/>
  <c r="D27" i="6" s="1"/>
  <c r="B27" i="6"/>
  <c r="C26" i="6"/>
  <c r="D26" i="6" s="1"/>
  <c r="B26" i="6"/>
  <c r="C25" i="6"/>
  <c r="D25" i="6" s="1"/>
  <c r="B25" i="6"/>
  <c r="C24" i="6"/>
  <c r="D24" i="6" s="1"/>
  <c r="B24" i="6"/>
  <c r="C23" i="6"/>
  <c r="D23" i="6" s="1"/>
  <c r="B23" i="6"/>
  <c r="C22" i="6"/>
  <c r="D22" i="6" s="1"/>
  <c r="B22" i="6"/>
  <c r="C21" i="6"/>
  <c r="D21" i="6" s="1"/>
  <c r="B21" i="6"/>
  <c r="C20" i="6"/>
  <c r="D20" i="6" s="1"/>
  <c r="B20" i="6"/>
  <c r="C19" i="6"/>
  <c r="D19" i="6" s="1"/>
  <c r="B19" i="6"/>
  <c r="C18" i="6"/>
  <c r="D18" i="6" s="1"/>
  <c r="B18" i="6"/>
  <c r="C17" i="6"/>
  <c r="D17" i="6" s="1"/>
  <c r="B17" i="6"/>
  <c r="C16" i="6"/>
  <c r="D16" i="6" s="1"/>
  <c r="B16" i="6"/>
  <c r="C15" i="6"/>
  <c r="D15" i="6" s="1"/>
  <c r="B15" i="6"/>
  <c r="C14" i="6"/>
  <c r="D14" i="6" s="1"/>
  <c r="B14" i="6"/>
  <c r="C13" i="6"/>
  <c r="D13" i="6" s="1"/>
  <c r="B13" i="6"/>
  <c r="B12" i="6"/>
  <c r="C11" i="6"/>
  <c r="D11" i="6" s="1"/>
  <c r="B11" i="6"/>
  <c r="C10" i="6"/>
  <c r="D10" i="6" s="1"/>
  <c r="B10" i="6"/>
  <c r="C9" i="6"/>
  <c r="D9" i="6" s="1"/>
  <c r="B9" i="6"/>
  <c r="C8" i="6"/>
  <c r="D8" i="6" s="1"/>
  <c r="B8" i="6"/>
  <c r="C7" i="6"/>
  <c r="D7" i="6" s="1"/>
  <c r="B7" i="6"/>
  <c r="C6" i="6"/>
  <c r="D6" i="6" s="1"/>
  <c r="B6" i="6"/>
  <c r="B5" i="6"/>
  <c r="B4" i="6"/>
  <c r="B3" i="6"/>
  <c r="B2" i="6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D2" i="5"/>
  <c r="C2" i="5"/>
  <c r="B6" i="7"/>
  <c r="A9" i="7" s="1" a="1"/>
  <c r="C5" i="6" l="1"/>
  <c r="D5" i="6" s="1"/>
  <c r="C4" i="6"/>
  <c r="D4" i="6" s="1"/>
  <c r="C40" i="6"/>
  <c r="C28" i="6"/>
  <c r="D28" i="6" s="1"/>
  <c r="C38" i="6"/>
  <c r="A17" i="9" a="1"/>
  <c r="A17" i="9" s="1"/>
  <c r="A18" i="9" a="1"/>
  <c r="A18" i="9" s="1"/>
  <c r="A25" i="9" a="1"/>
  <c r="A25" i="9" s="1"/>
  <c r="A24" i="9" a="1"/>
  <c r="A24" i="9" s="1"/>
  <c r="A23" i="9" a="1"/>
  <c r="A23" i="9" s="1"/>
  <c r="C23" i="9" s="1"/>
  <c r="A22" i="9" a="1"/>
  <c r="A22" i="9" s="1"/>
  <c r="C22" i="9" s="1"/>
  <c r="A21" i="9" a="1"/>
  <c r="A21" i="9" s="1"/>
  <c r="A20" i="9" a="1"/>
  <c r="A20" i="9" s="1"/>
  <c r="C20" i="9" s="1"/>
  <c r="C19" i="9"/>
  <c r="C12" i="6"/>
  <c r="D12" i="6" s="1"/>
  <c r="C34" i="6"/>
  <c r="C3" i="6"/>
  <c r="D3" i="6" s="1"/>
  <c r="C2" i="6"/>
  <c r="D2" i="6" s="1"/>
  <c r="B11" i="9"/>
  <c r="B13" i="9"/>
  <c r="A9" i="7"/>
  <c r="B9" i="7" s="1" a="1"/>
  <c r="B9" i="7" s="1"/>
  <c r="B12" i="9" l="1"/>
  <c r="D2" i="9" s="1"/>
  <c r="C17" i="9" a="1"/>
  <c r="C17" i="9" s="1"/>
  <c r="B17" i="9" a="1"/>
  <c r="B17" i="9" s="1"/>
  <c r="B19" i="9" a="1"/>
  <c r="B19" i="9" s="1"/>
  <c r="B23" i="9" a="1"/>
  <c r="B23" i="9" s="1"/>
  <c r="B20" i="9" a="1"/>
  <c r="B20" i="9" s="1"/>
  <c r="B22" i="9" a="1"/>
  <c r="B22" i="9" s="1"/>
  <c r="C26" i="9"/>
  <c r="C18" i="9"/>
  <c r="C21" i="9"/>
  <c r="C24" i="9"/>
  <c r="C25" i="9"/>
  <c r="B24" i="9" l="1" a="1"/>
  <c r="B24" i="9" s="1"/>
  <c r="B26" i="9" a="1"/>
  <c r="B26" i="9" s="1"/>
  <c r="B18" i="9" a="1"/>
  <c r="B18" i="9" s="1"/>
  <c r="B25" i="9" a="1"/>
  <c r="B25" i="9" s="1"/>
  <c r="B21" i="9" a="1"/>
  <c r="B21" i="9" s="1"/>
  <c r="B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<sst xmlns="http://schemas.openxmlformats.org/spreadsheetml/2006/main" count="925" uniqueCount="429">
  <si>
    <t>EmployeeName</t>
  </si>
  <si>
    <t>JobTitle</t>
  </si>
  <si>
    <t>احمد محمد زياد شعبان فنون</t>
  </si>
  <si>
    <t>مدير اسطول</t>
  </si>
  <si>
    <t>تامر طاهر محمد يسري فنون</t>
  </si>
  <si>
    <t>مدير مشروع</t>
  </si>
  <si>
    <t>داود نضال داود فنون</t>
  </si>
  <si>
    <t>مدخل بيانات</t>
  </si>
  <si>
    <t>سيف الدين زياد محي الدين بدر</t>
  </si>
  <si>
    <t>رئيس قسم المحاسبه</t>
  </si>
  <si>
    <t>عبدالعزيز محمد منذر عبد العزيز عابدين</t>
  </si>
  <si>
    <t>مساعد مدير حركه</t>
  </si>
  <si>
    <t>علي سالم محمد بني عواد</t>
  </si>
  <si>
    <t>مشرف سلامة عامة</t>
  </si>
  <si>
    <t>عمر محمد عمر الشامي</t>
  </si>
  <si>
    <t>مسؤول مستودع</t>
  </si>
  <si>
    <t>فايز احمد موسى اصليح</t>
  </si>
  <si>
    <t>مندوب</t>
  </si>
  <si>
    <t>ماهر ربحي علي المحتسب</t>
  </si>
  <si>
    <t>امين صندوق</t>
  </si>
  <si>
    <t>محمد احمد خليل ابو شال</t>
  </si>
  <si>
    <t>مسؤول مطالبات</t>
  </si>
  <si>
    <t>معتز سعيد محمد شاميه</t>
  </si>
  <si>
    <t>مدقق داخلي</t>
  </si>
  <si>
    <t>مؤيد هيثم عبدالغفور علي حسين</t>
  </si>
  <si>
    <t>مسؤول قسم تكنولوجيا المعلومات</t>
  </si>
  <si>
    <t xml:space="preserve">هني احمد محمد علي </t>
  </si>
  <si>
    <t xml:space="preserve">عامل تحميل </t>
  </si>
  <si>
    <t>احمد حسين هاشم الاخضر</t>
  </si>
  <si>
    <t>محاسب رئيسي</t>
  </si>
  <si>
    <t>عمر ناصر محمد يسري فنون</t>
  </si>
  <si>
    <t>ضابط مشتريات</t>
  </si>
  <si>
    <t>محمد ابراهيم يوسف  ابو رحمه</t>
  </si>
  <si>
    <t>عامل مستودع</t>
  </si>
  <si>
    <t>طارق عبدالمجيد راشد الحداد</t>
  </si>
  <si>
    <t>امين مستودع</t>
  </si>
  <si>
    <t>ايهاب محمد خميس حمد</t>
  </si>
  <si>
    <t>يزن صالح محمد العامودي</t>
  </si>
  <si>
    <t>ضابط سلامة وصحة عامة وتتبع</t>
  </si>
  <si>
    <t>خلدون عامر حامد الكسيح</t>
  </si>
  <si>
    <t>يزن خالد فارس العزه</t>
  </si>
  <si>
    <t>محاسب</t>
  </si>
  <si>
    <t>علي تيسير احمد شتات</t>
  </si>
  <si>
    <t>ميكانيكي</t>
  </si>
  <si>
    <t>محمد جهاد احمد الجريري</t>
  </si>
  <si>
    <t>وائل ضيف الله سليمان ابو اثنين</t>
  </si>
  <si>
    <t>حارس</t>
  </si>
  <si>
    <t>حسن يحيى حسن زرزر</t>
  </si>
  <si>
    <t>معقب معاملات</t>
  </si>
  <si>
    <t>مهند محمد نبيل مصطفى العدوي</t>
  </si>
  <si>
    <t>مستشار خدمة</t>
  </si>
  <si>
    <t>ليث عوده عبد الرزاق الفواعير</t>
  </si>
  <si>
    <t>مشرف صيانة وجودة</t>
  </si>
  <si>
    <t>ابراهيم جمال محمد يسري فنون</t>
  </si>
  <si>
    <t>ربحي اياد محمد ربحي شاهين</t>
  </si>
  <si>
    <t>جمال ياسر محمود الخطيب</t>
  </si>
  <si>
    <t>مصطفى عبد الرحمن مصطفى فواز</t>
  </si>
  <si>
    <t>حمزه علي محمد اسرور</t>
  </si>
  <si>
    <t>بلال خالد عبد الهادي ابو خلف</t>
  </si>
  <si>
    <t>زكي محمد بدوي حسن البزلميط</t>
  </si>
  <si>
    <t>جلال جمال محمد يسري فنون</t>
  </si>
  <si>
    <t>محمد عبد المجيد راشد الحداد</t>
  </si>
  <si>
    <t>بنشرجي</t>
  </si>
  <si>
    <t>ثائر مصطفى احمد محمود</t>
  </si>
  <si>
    <t>مصباح احمد مصباح الشريف</t>
  </si>
  <si>
    <t>مالك موسى رضوان حسين</t>
  </si>
  <si>
    <t>مسؤول تسفير</t>
  </si>
  <si>
    <t>بكر هشام سعيد حرب</t>
  </si>
  <si>
    <t>مجد عبد الله حسين الهندي</t>
  </si>
  <si>
    <t>منسق صيانه الاسطول</t>
  </si>
  <si>
    <t>محمد بسام جميل ابو سمره</t>
  </si>
  <si>
    <t>محمد عبد الناصر اسماعيل الحموري</t>
  </si>
  <si>
    <t>حداد</t>
  </si>
  <si>
    <t>محمد نبيل سعيد ناصر الدين</t>
  </si>
  <si>
    <t>احمد مجدي احمد عوده</t>
  </si>
  <si>
    <t>مصطفى سليمان محمود جميل</t>
  </si>
  <si>
    <t>اسامة محمد عبد القادر اللاذقاني</t>
  </si>
  <si>
    <t>اسحاق محمد عبد الله محمد</t>
  </si>
  <si>
    <t>Weight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</si>
  <si>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</si>
  <si>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</si>
  <si>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</si>
  <si>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</si>
  <si>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</si>
  <si>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</si>
  <si>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</si>
  <si>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</si>
  <si>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</si>
  <si>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</si>
  <si>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</si>
  <si>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</si>
  <si>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</si>
  <si>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KPI_%</t>
  </si>
  <si>
    <t>KPI_Name</t>
  </si>
  <si>
    <t>Evaluator</t>
  </si>
  <si>
    <t>Nots</t>
  </si>
  <si>
    <t>اسم الموظف</t>
  </si>
  <si>
    <t>الشهر</t>
  </si>
  <si>
    <t>اسم المقيم</t>
  </si>
  <si>
    <t>وظيفة العامل</t>
  </si>
  <si>
    <t>منسق موارد بشرية</t>
  </si>
  <si>
    <t>Monthly_score</t>
  </si>
  <si>
    <t>Year</t>
  </si>
  <si>
    <t>Yearly_Average</t>
  </si>
  <si>
    <t>Verbal_Evaluation</t>
  </si>
  <si>
    <t xml:space="preserve">سنة التقييم </t>
  </si>
  <si>
    <t>YEAR</t>
  </si>
  <si>
    <t>تامر فنون</t>
  </si>
  <si>
    <t>ليث الفواعير</t>
  </si>
  <si>
    <t>المؤشر</t>
  </si>
  <si>
    <t>الوزن</t>
  </si>
  <si>
    <t>التقييم الشهري</t>
  </si>
  <si>
    <t xml:space="preserve">التوقيع </t>
  </si>
  <si>
    <t>#</t>
  </si>
  <si>
    <t>متوسط المؤشر (KPI_%) السنوي</t>
  </si>
  <si>
    <t>دقة إدخال البيانات</t>
  </si>
  <si>
    <t>السرعة في الإنجاز</t>
  </si>
  <si>
    <t>التدقيق ومراجعة البيانات</t>
  </si>
  <si>
    <t>الالتزام بالعمليات المالية</t>
  </si>
  <si>
    <t>الالتزام والانضباط</t>
  </si>
  <si>
    <t>القدرة على العمل تحت الضغط</t>
  </si>
  <si>
    <t>تنظيم الملفات والسجلات</t>
  </si>
  <si>
    <t>التعامل مع الإدارة</t>
  </si>
  <si>
    <t>التعاون مع الموظفين</t>
  </si>
  <si>
    <t>التواصل مع الشركات والعملاء</t>
  </si>
  <si>
    <t>متابعة الفحوصات الطبية الدورية للموظفين والسائقين</t>
  </si>
  <si>
    <t>استهلاك قطع الغيار مقارنة بالمعايير</t>
  </si>
  <si>
    <t>جودة التقارير الفنية</t>
  </si>
  <si>
    <t>مستوى التعاون</t>
  </si>
  <si>
    <t>سرعة الاستجابة لطلبات المشرف</t>
  </si>
  <si>
    <t>تكلفة الصيانة لكل شاحنة</t>
  </si>
  <si>
    <t>مدى دقة العمل، الالتزام بالمواصفات والمعايير، والقدرة على تنفيذ المهام بفعالية وفي الوقت المحدد.</t>
  </si>
  <si>
    <t>الفهم الشامل لمتطلبات الوظيفة، والقدرة على تطبيق المعرفة والخبرة في حل المشكلات، والتعامل مع أجهزة العمل بكفاءة.</t>
  </si>
  <si>
    <t>القدرة على تنظيم العمل، تحديد الأولويات، الاستخدام الأمثل للموارد (مادية أو بشرية)، والقدرة على تحمل ضغط العمل.</t>
  </si>
  <si>
    <t>السعي المستمر لتطوير الأداء الذاتي، وتقديم أفكار ومقترحات لتحسين سير العمل وتجاوز التحديات.</t>
  </si>
  <si>
    <t xml:space="preserve">التوجيه المستمر للسائقين بالالتزام بمتطلبات السلامه العامه على الطريق وعند التحميل و التفريغ </t>
  </si>
  <si>
    <t>الالتزام التام بساعات وأيام العمل، الانضباط في الحضور والمغادرة، والتقيد باللوائح والتعليمات الصادرة عن الإدارة.</t>
  </si>
  <si>
    <t>جودة التعامل مع العملاء الخارجيين، الاستجابة السريعة والفعالة لاحتياجاتهم، والقدرة على حل الشكاوى وبناء ثقة العملاء.</t>
  </si>
  <si>
    <t>فني فحص محركات-كهربائي</t>
  </si>
  <si>
    <t>القسم</t>
  </si>
  <si>
    <t>العمليات</t>
  </si>
  <si>
    <t>المحاسبه</t>
  </si>
  <si>
    <t>تكنولوجيا المعلومات</t>
  </si>
  <si>
    <t>المستودعات</t>
  </si>
  <si>
    <t>الموارد البشرية</t>
  </si>
  <si>
    <t>الكراج</t>
  </si>
  <si>
    <t>مدير جودة وسلامة عامة وبيئة</t>
  </si>
  <si>
    <t xml:space="preserve">اسم المقيم </t>
  </si>
  <si>
    <t>سيف بدر</t>
  </si>
  <si>
    <t>زياد المعايعة</t>
  </si>
  <si>
    <t>ناصر فنون</t>
  </si>
  <si>
    <t>السلامه العامه</t>
  </si>
  <si>
    <t>التقييم الفعلي للموظف</t>
  </si>
  <si>
    <t xml:space="preserve">                                                                                                                                      المسؤول المباشر</t>
  </si>
  <si>
    <t xml:space="preserve">                                                                                                                               توقيع المسؤول المباشر</t>
  </si>
  <si>
    <t xml:space="preserve">                                                                                                                                             اسم الموظف</t>
  </si>
  <si>
    <t xml:space="preserve">                                                                                                                                               الوظيفة</t>
  </si>
  <si>
    <t xml:space="preserve">                                                                                                                                              القسم</t>
  </si>
  <si>
    <t xml:space="preserve">                                                                                                                                             السنة</t>
  </si>
  <si>
    <t xml:space="preserve">                                                                                                                                       اسم المقيم</t>
  </si>
  <si>
    <t xml:space="preserve">                                                                                                                                        تاريخ التقييم</t>
  </si>
  <si>
    <t xml:space="preserve">                                                                                                                   التقييم السنوي</t>
  </si>
  <si>
    <t xml:space="preserve">                                                                                                                   نتيجة التقييم </t>
  </si>
  <si>
    <t xml:space="preserve">                                                                                                                    عدد الأشهر التي تم تقييمها</t>
  </si>
  <si>
    <t>إعداد وتحديث خطط السلامة والجودة، مراجعة الوثائق، تطبيق الإجراءات والنماذج، والالتزام بملاحظات جهات التفتيش.</t>
  </si>
  <si>
    <t>حصر وتحديث المخاطر، كفاءة خطط الإخلاء والطوارئ، سرعة الاستجابة للحوادث، والتعاون مع الدفاع المدني والجهات ذات العلاقة.</t>
  </si>
  <si>
    <t>جودة تقارير التحقيق، تحليل الأسباب الجذرية، التفكير المنطقي، ووضع إجراءات وقائية فعّالة.</t>
  </si>
  <si>
    <t>قياسات العوادم والملوثات، تنفيذ برامج الحد من التلوث، والالتزام بالاشتراطات البيئية.</t>
  </si>
  <si>
    <t>إعداد التقارير الشهرية بدقة، الالتزام بمواعيد الرفع، تحليل البيانات وربطها بالنتائج التشغيلية.</t>
  </si>
  <si>
    <t>متابعة العمليات اليومية، معالجة المشكلات مع الجهات المتعاقدة، واتخاذ قرارات فعّالة في الحالات الطارئة.</t>
  </si>
  <si>
    <t>تنظيم العمل وتحديد الأولويات، إدارة السجلات، إنهاء المهام في الوقت المحدد، ودقة المواعيد.</t>
  </si>
  <si>
    <t>تشمل: المبادرة في تحسين الإجراءات، بناء ثقافة سلامة فعّالة، وتطوير بيئة العمل.</t>
  </si>
  <si>
    <t>الالتزام بالسياسات والأنظمة، السرية المهنية، التحكم بضغوط العمل، والتعامل المهني مع الجهات الرقابية</t>
  </si>
  <si>
    <t>التواصل مع الإدارة وبقية الأقسام، شرح إجراءات السلامة للموظفين، التعاون مع الموارد البشرية، والعلاقة مع المستشفيات والموردين.</t>
  </si>
  <si>
    <t>التعاون الفعّال والتواصل الواضح مع الزملاء والإدارة والسائقين لضمان تحقيق الأهداف وسير العمليات بسلاس</t>
  </si>
  <si>
    <t xml:space="preserve">الامتثال لقواعد السلامة العامه بدون حوادث وإصابات العمل </t>
  </si>
  <si>
    <t>عدد أعطال الشاحنات المتكررة بعد الصيانة ونسبة الإصلاحات بدون إعادة عمل</t>
  </si>
  <si>
    <t>الحفاظ على مكان العمل والمعدات  نظيفة وبدون ضياع</t>
  </si>
  <si>
    <t>الدقة في التشخيص والفحص الميكانيكي  وتبديل القطع قبل التبديل والسرعة في إنجاز أعمال الصيانة ضمن الوقت المحدد</t>
  </si>
  <si>
    <t>الالتزام باجراء الصيانة الوقائية</t>
  </si>
  <si>
    <t xml:space="preserve">ادارة العطاءات والعقود  </t>
  </si>
  <si>
    <t xml:space="preserve">الإدارة المالية والمطالبات  </t>
  </si>
  <si>
    <t xml:space="preserve"> دقة الأنظمة والتقارير  </t>
  </si>
  <si>
    <t xml:space="preserve"> إدارة العمليات وتنظيم العمل  </t>
  </si>
  <si>
    <t xml:space="preserve"> تحليل البيانات ومؤشرات الأداء  </t>
  </si>
  <si>
    <t xml:space="preserve"> معالجة المشكلات واتخاذ القرار  </t>
  </si>
  <si>
    <t xml:space="preserve"> القيادة وتحفيز الفريق  </t>
  </si>
  <si>
    <t xml:space="preserve"> التواصل والالتزام الإداري  </t>
  </si>
  <si>
    <t xml:space="preserve"> إدارة العلاقات والشراكات  </t>
  </si>
  <si>
    <t xml:space="preserve"> العمل تحت الضغط والمهام المتعددة </t>
  </si>
  <si>
    <t>دقة استلام المواد ومطابقتها لأوامر الشراء (مواصفة، رقم قطعة، جودة، سعر)</t>
  </si>
  <si>
    <t>دقة وسرعة إدخال البيانات وتطابق النظام مع الجرد الفعلي</t>
  </si>
  <si>
    <t>إدارة المخزون ومنع النفاد غير المبلغ عنه</t>
  </si>
  <si>
    <t>دقة الكلف والتسويات وتقليل الفروقات بين الأنظمة</t>
  </si>
  <si>
    <t>الالتزام بإجراءات الصرف وسندات النقل والتوثيق السليم</t>
  </si>
  <si>
    <t>إعداد التقارير الدورية بدقة وفي الوقت المحدد</t>
  </si>
  <si>
    <t>الالتزام بمعايير السلامة وحماية المواد وممتلكات الشركة</t>
  </si>
  <si>
    <t>تنظيم العمل والالتزام بالمواعيد وتنفيذ المهام</t>
  </si>
  <si>
    <t>التركيز وتقليل الأخطاء واتخاذ خطوات استباقية</t>
  </si>
  <si>
    <t>التعاون والتواصل الفعّال مع الإدارة والكراج والزملاء</t>
  </si>
  <si>
    <t>معرفة وتطبيق اللوائح والقوانين (قانون العمل والضمان)</t>
  </si>
  <si>
    <t>إدارة وتنظيم الملفات والسجلات وسهولة الرجوع إليها</t>
  </si>
  <si>
    <t>السرعة والدقة والإنتاجية في إنجاز العمل</t>
  </si>
  <si>
    <t>التحليل وإعداد التقارير بدقة واحترافية</t>
  </si>
  <si>
    <t>الالتزام بأخلاقيات العمل والحياد والمسؤولية</t>
  </si>
  <si>
    <t>الالتزام بمتطلبات السلامة العامة داخل بيئة العمل</t>
  </si>
  <si>
    <t>المبادرة واقتراح التحسينات وحل المشكلات</t>
  </si>
  <si>
    <t>التواصل الفعّال والتعامل المهني (رؤساء، زملاء، عملاء، موظفين جدد)</t>
  </si>
  <si>
    <t>تحمل ضغط العمل وتنظيم الأولويات وتحمل النتائج</t>
  </si>
  <si>
    <t>نقل المعرفة وتدريب الآخرين ودعم الفريق</t>
  </si>
  <si>
    <t>جاهزية الشاحنات ومتابعة حالتها الفنية والوثائق القانونية</t>
  </si>
  <si>
    <t>تنفيذ الجولات الميدانية ومتابعة الأداء على خطوط السير</t>
  </si>
  <si>
    <t>دقة تسجيل حركة الشاحنات وتنظيم مواقفها</t>
  </si>
  <si>
    <t>إدارة السائقين (الدوام، توزيع المهام، التواصل والمتابعة)</t>
  </si>
  <si>
    <t>الالتزام بالسلامة والصحة المهنية والإبلاغ عن الحوادث والمخالفات</t>
  </si>
  <si>
    <t>الرقابة على استهلاك الوقود والعدادات والقيادة الاقتصادية وتقليل الهدر</t>
  </si>
  <si>
    <t>التنظيم والعمل تحت الضغط وحسن التصرف والالتزام بالتوجيهات</t>
  </si>
  <si>
    <t>التعاون والتنسيق مع الإدارات الأخرى وتقديم خدمة مهنية للموظفين</t>
  </si>
  <si>
    <t>مهارات التفاوض والإقناع والإيجابية في التعامل</t>
  </si>
  <si>
    <t>الالتزام بإغلاق الفترات المالية ضمن الإطار الزمني المحدد</t>
  </si>
  <si>
    <t>تنظيم وأرشفة المستندات المالية وفق معايير الرقابة المعتمدة</t>
  </si>
  <si>
    <t>الالتزام بأنظمة الرقابة الداخلية والسياسات المالية</t>
  </si>
  <si>
    <t>دقة العمليات المحاسبية وتقليل نسبة الأخطاء</t>
  </si>
  <si>
    <t>سرعة ودقة تسجيل القيود والمطابقات البنكية ومعالجة فواتير الموردين</t>
  </si>
  <si>
    <t>جودة إعداد وتحليل التقارير المالية ورفعها في الوقت المحدد</t>
  </si>
  <si>
    <t>الاستجابة الفعّالة للمهام الإدارية وحل الخلافات المالية</t>
  </si>
  <si>
    <t>التواصل المهني مع الإدارة والأقسام الأخرى وتعزيز التعاون الداخلي</t>
  </si>
  <si>
    <t>التعامل المهني مع العملاء والرد على الاستفسارات المالية بكفاءة</t>
  </si>
  <si>
    <t>وضوح ودقة توصيل المعلومات المالية للموظفين والجهات ذات العلاقة</t>
  </si>
  <si>
    <t>دقة استلام المواد ومطابقتها للفواتير والمواصفات وتقليل أخطاء الاستلام</t>
  </si>
  <si>
    <t>سرعة ودقة إدخال المواد للنظام وترتيبها وفق الأصول المعتمدة</t>
  </si>
  <si>
    <t>تنظيم وترتيب المواد حسب النوع والصلاحية وسهولة الوصول إليها</t>
  </si>
  <si>
    <t>تحضير وصرف وتسليم المواد وفق الأذونات الرسمية دون تأخير</t>
  </si>
  <si>
    <t>متابعة الجرد ومطابقة الرصيد الفعلي مع النظام وتقليل الفروقات</t>
  </si>
  <si>
    <t>الالتزام بإجراءات السلامة والتخزين السليم خاصة للمواد الخطرة</t>
  </si>
  <si>
    <t>المحافظة على نظافة المستودع وترتيبه وفق المعايير المعتمدة</t>
  </si>
  <si>
    <t>الالتزام بالدوام والتعليمات وأداء المهام بدقة وتحمل المسؤولية</t>
  </si>
  <si>
    <t>القدرة على العمل تحت الضغط والتعامل مع فترات الذروة بكفاءة</t>
  </si>
  <si>
    <t>التواصل والتنسيق المهني مع الأقسام والإبلاغ عن المخالفات أو التلفيات في الوقت المناسب</t>
  </si>
  <si>
    <t>متابعة حركة الشاحنات ورصد المخالفات عبر الأنظمة المعتمدة ورفعها للجهات المختصة</t>
  </si>
  <si>
    <t>سرعة وفعالية الاستجابة لحوادث الطرق وتعطل الشاحنات وإدارة الموقف</t>
  </si>
  <si>
    <t>الرقابة على التزام السائقين بساعات القيادة والراحة ومتطلبات السلامة</t>
  </si>
  <si>
    <t>تنفيذ برامج التدريب (القيادة الآمنة، التحميل والتفريغ، الإخلاء ومكافحة الحريق) وفق الخطة المعتمدة</t>
  </si>
  <si>
    <t>إعداد تقارير السلامة الدورية وتحليل المخاطر بدقة ورفعها للإدارة</t>
  </si>
  <si>
    <t>معاينة مواقع العمل وإصدار تصاريح العمل وضمان الالتزام بإجراءات السلامة</t>
  </si>
  <si>
    <t>التبليغ عن الحوادث للجهات المعنية ضمن المدد النظامية (خلال 48 ساعة)</t>
  </si>
  <si>
    <t>المشاركة الفعالة في لجنة السلامة ومتابعة تنفيذ القرارات</t>
  </si>
  <si>
    <t>القيادة المهنية وفرض تعليمات السلامة والتواصل الفعال مع الجهات الداخلية والخارجية</t>
  </si>
  <si>
    <t>الكفاءة في فك وتركيب الإطارات بسرعة ودقة وفق معايير السلامة</t>
  </si>
  <si>
    <t>فحص الإطارات قبل التركيب واكتشاف الأعطال (تهريب، تلف، عيوب فنية)</t>
  </si>
  <si>
    <t>الفحص الوقائي الدوري للإطارات (سماكة المداس، الصلاحية، الجاهزية)</t>
  </si>
  <si>
    <t>الإبلاغ عن الأعطال وتحليل أسبابها لمنع تكرارها مستقبلاً</t>
  </si>
  <si>
    <t>متابعة ضغط الهواء والتفقد اليومي للمركبات</t>
  </si>
  <si>
    <t>تطبيق إجراءات السلامة عند الفك والتركيب ونفخ الإطارات وتأمين المركبة</t>
  </si>
  <si>
    <t>تنفيذ أعمال الصيانة للإطارات والجنطات والاستفادة القصوى من عمر الإطار</t>
  </si>
  <si>
    <t>التنسيق مع قسم الصيانة بشأن تقليب الإطارات والمتابعة الفنية</t>
  </si>
  <si>
    <t>سرعة الاستجابة للمهام وتنفيذها ضمن الوقت المحدد</t>
  </si>
  <si>
    <t>تنظيم وترتيب موقع العمل والحفاظ على بيئة عمل آمنة ومنظمة</t>
  </si>
  <si>
    <t>جودة ودقة الفحص واكتشاف الأعطال قبل خروج المركبة وتقليل حالات الإرجاع</t>
  </si>
  <si>
    <t>مطابقة نتائج الفحص لمتطلبات الجهات المعتمدة وسرعة تجهيز المركبة</t>
  </si>
  <si>
    <t>نسبة إصلاح الأعطال من أول مرة والالتزام بالوقت المعياري للإصلاح</t>
  </si>
  <si>
    <t>الالتزام بتعليمات السلامة (HSE) واستخدام الأدوات دون مخالفات</t>
  </si>
  <si>
    <t>دقة ووضوح التقارير الفنية واعتمادها دون الحاجة لتعديلات</t>
  </si>
  <si>
    <t>دقة التوثيق وتسجيل الإجراءات ووقت الإنجاز دون تأخير أو فقد بيانات</t>
  </si>
  <si>
    <t>سرعة الاستجابة للمهام وتقليل زمن بدء التنفيذ</t>
  </si>
  <si>
    <t>سرعة التنسيق والتواصل لتقليل التأخير التشغيلي</t>
  </si>
  <si>
    <t>اجتياز التدقيقات الداخلية دون ملاحظات وسرعة معالجة الملاحظات</t>
  </si>
  <si>
    <t>نظافة وترتيب مكان العمل والأدوات وفق المعايير المهنية</t>
  </si>
  <si>
    <t>جودة أعمال اللحام والتثبيت وإنجازها ضمن الوقت المحدد دون إعادة عمل</t>
  </si>
  <si>
    <t>دقة تشخيص وإصلاح الأعطال المعدنية وتقليل نسبة الأخطاء</t>
  </si>
  <si>
    <t>الالتزام بخطط الصيانة الوقائية وتنفيذ الأعمال وفق المواصفات الفنية</t>
  </si>
  <si>
    <t>الالتزام بمعايير السلامة المهنية وتقليل المخاطر داخل الورشة</t>
  </si>
  <si>
    <t>الاستخدام الأمثل للمواد وتقليل الهدر وإدارة الموارد بكفاءة</t>
  </si>
  <si>
    <t>تقليل الحاجة لإعادة العمل أو التعديلات غير الضرورية بعد التنفيذ</t>
  </si>
  <si>
    <t>الفحص النهائي للمركبة ومكان العمل وضمان جودة التسليم</t>
  </si>
  <si>
    <t>سرعة الاستجابة للمهام والوقت بين التوجيه وبدء التنفيذ</t>
  </si>
  <si>
    <t>الإبلاغ عن الأعطال المكتشفة (المبلغ عنها وغير المبلغ عنها) بوضوح</t>
  </si>
  <si>
    <t>تنظيم وترتيب بيئة العمل والمحافظة على الأدوات دون ملاحظات</t>
  </si>
  <si>
    <t>ضمان اكتمال جميع أعمال الصيانة وتوثيقها من الفنيين وورش الطرف الثالث</t>
  </si>
  <si>
    <t>تنظيم وجدولة الأعمال اليومية ومتابعة تنفيذها وفق خطة مدير الصيانة</t>
  </si>
  <si>
    <t>متابعة تنفيذ أوامر العمل والتنسيق الفعال مع الاستشاري والفنيين</t>
  </si>
  <si>
    <t>الالتزام بتطبيق معايير السلامة والصحة المهنية واشتراطات ADR أثناء الصيانة</t>
  </si>
  <si>
    <t>التحقق من صلاحية المركبات قبل خروجها ومنع تشغيل غير المطابق منها</t>
  </si>
  <si>
    <t>إدخال بيانات الصيانة وقطع الغيار بدقة وإصدار التقارير الدورية</t>
  </si>
  <si>
    <t>ضمان إغلاق أوامر العمل وعدم بقاء طلبات معلقة لأكثر من 72 ساعة</t>
  </si>
  <si>
    <t>متابعة تنفيذ توصيات السلامة بعد الحوادث أو الفحوصات</t>
  </si>
  <si>
    <t>توزيع الفنيين وضبط الحضور وتوفير قطع الغيار عند الحاجة</t>
  </si>
  <si>
    <t>سرعة الإبلاغ عن المخاطر والملاحظات التشغيلية ودعم التدخل السريع للأعطال</t>
  </si>
  <si>
    <t>إعداد خطة الصيانة الدورية وترتيب الأولويات حسب خطورة الأعطال ونوع التشغيل</t>
  </si>
  <si>
    <t>تحليل سجلات الأعطال وتحديد الأنماط المتكررة واقتراح حلول وقائية</t>
  </si>
  <si>
    <t>ضمان جاهزية الموارد (قطع غيار، أدوات، فنيين) قبل بدء الأعمال</t>
  </si>
  <si>
    <t>إعداد التقارير الفنية المفصلة وتوثيق جميع البيانات وأعمال الطرف الثالث بدقة</t>
  </si>
  <si>
    <t>ضمان إغلاق أوامر العمل خلال المدة المحددة (72 ساعة) ومتابعة الحالات المفتوحة</t>
  </si>
  <si>
    <t>اتخاذ القرار السريع في حالات الأعطال أو الحوادث واقتراح حلول تعيد المركبة للخدمة بأمان وكفاءة</t>
  </si>
  <si>
    <t>دقة توجيه السائقين والشاحنات وفق الأولويات ومنع التعارض بالمحطات</t>
  </si>
  <si>
    <t>الالتزام بإجراءات السلامة وإرسال المسارات الآمنة وتقليل الحوادث الناتجة عن التوجيه</t>
  </si>
  <si>
    <t>التنسيق الفعال مع مدير الأسطول ومشرفي/مالكي المحطات</t>
  </si>
  <si>
    <t>متابعة التزام السائقين بالمسارات والمواعيد وساعات العمل القانونية</t>
  </si>
  <si>
    <t>دقة واكتمال التقارير اليومية (الكميات، أوقات التحميل والتفريغ)</t>
  </si>
  <si>
    <t>الانضباط والالتزام بالسياسات والمبادرة المهنية</t>
  </si>
  <si>
    <t>مراجعة الطلبات قبل التنفيذ وضمان خلوها من الأخطاء</t>
  </si>
  <si>
    <t>القدرة على إدارة ضغط العمل والتعامل مع الظروف الطارئة</t>
  </si>
  <si>
    <t>فعالية التواصل ونقل المعلومات بدقة وبناء ثقة مع الأقسام الأخرى</t>
  </si>
  <si>
    <t>حل مشكلات السائقين والتنسيق مع المحطات باحترافية ووضوح</t>
  </si>
  <si>
    <t>نسبة التوفير في تكلفة شراء قطع الغيار(مقارنة الأسعار التي تم الشراء بها مع متوسط أسعار السوق أو العروض الأخرى)</t>
  </si>
  <si>
    <t>سرعة توفير القطع المطلوبة للكراج (متوسط الوقت من استلام الطلب حتى توفير القطعة)</t>
  </si>
  <si>
    <t>نسبة توفر القطع بدون تأخير (عدد الطلبات المنفذة في الوقت المحدد ÷ إجمالي الطلبات)</t>
  </si>
  <si>
    <t>مهارة التفاوض مع الموردين( قيمة الخصومات أو المزايا التي تم الحصول عليها (خصم، ضمان، تسهيلات)</t>
  </si>
  <si>
    <t>جودة قطع الغيار المشتراة( نسبة القطع المرتجعة أو المرفوضة بسبب الجودة)</t>
  </si>
  <si>
    <t>دقة أوامر الشراء والوثائق (عدد الأخطاء في أوامر الشراء أو الفواتير)</t>
  </si>
  <si>
    <t>الالتزام بميزانية المشتريات( مقارنة إجمالي المشتريات بالميزانية المعتمدة)</t>
  </si>
  <si>
    <t>الاستجابة للأعطال الطارئة للمركبات (سرعة توفير قطع الغيار للحالات الطارئة التي توقف المركبات)</t>
  </si>
  <si>
    <t>التنظيم والمتابعة والتقارير (انتظام سجلات المشتريات والتقارير الدورية للإدارة)</t>
  </si>
  <si>
    <t>اكتشاف الأخطاء قبل خروج المركبة وتقليل حالات العودة بسبب أخطاء الفحص</t>
  </si>
  <si>
    <t>إصلاح الأعطال من أول مرة والالتزام بالزمن المعياري</t>
  </si>
  <si>
    <t>مطابقة نتائج الفحص مع متطلبات الطرف الثالث وسرعة التجهيز</t>
  </si>
  <si>
    <t>تطبيق تعليمات السلامة واستخدام الأدوات بدون مخالفات</t>
  </si>
  <si>
    <t>وضوح التقارير ودقة التوصيات واعتمادها بدون تعديل</t>
  </si>
  <si>
    <t>عدم وجود ملاحظات عند التدقيق وسرعة الاستجابة والمتابعة</t>
  </si>
  <si>
    <t>تسجيل البيانات بشكل دقيق وفي الوقت المناسب بدون تأخير</t>
  </si>
  <si>
    <t>تقليل التأخير الناتج عن ضعف التواصل وسرعة تجهيز المركبات</t>
  </si>
  <si>
    <t>مستوى التعاون مع الفريق وتقييم المشرف</t>
  </si>
  <si>
    <t>سرعة الاستجابة وترتيب ونظافة بيئة العمل</t>
  </si>
  <si>
    <t>كهربائي</t>
  </si>
  <si>
    <t>الاحتياجات التدريبية للموظف : 1-
                                                      2-
                                                      3-</t>
  </si>
  <si>
    <t xml:space="preserve"> ملاحظات خاصة بالمقيم :  </t>
  </si>
  <si>
    <r>
      <rPr>
        <b/>
        <u/>
        <sz val="12"/>
        <color rgb="FFFF0000"/>
        <rFont val="Calibri"/>
        <family val="2"/>
        <scheme val="minor"/>
      </rPr>
      <t xml:space="preserve">ملاحظة </t>
    </r>
    <r>
      <rPr>
        <b/>
        <sz val="12"/>
        <rFont val="Calibri"/>
        <family val="2"/>
        <scheme val="minor"/>
      </rPr>
      <t>: لاتمام استخراج نموذج التقييم النهائي يجب على المقيم تعبئة التقييم بشكل شهري من قائمة INPUT ثم في قائمة AUTO-MONTHLY</t>
    </r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</si>
  <si>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</si>
  <si>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</si>
  <si>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</si>
  <si>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</si>
  <si>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</si>
  <si>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</si>
  <si>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</si>
  <si>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</si>
  <si>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</si>
  <si>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</si>
  <si>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</si>
  <si>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                                                                                                    نتيجة التقييم </t>
  </si>
  <si>
    <t>القدرة على تحمل المسؤولية تجاه المهام الموكلة، والجدية في التعامل مع العمل، والثقة في اتخاذ القرارات ضمن نطاق الصلاحيات</t>
  </si>
  <si>
    <t>حسن التصرف، اللباقة في الحديث والتعامل مع جميع الأطراف</t>
  </si>
  <si>
    <t>مدير الموارد البشرية</t>
  </si>
  <si>
    <t>مراجعة وتحديث بطاقات الوصف الوظيفي وإبلاغ الموظفين بها</t>
  </si>
  <si>
    <t>تنفيذ متطلبات التوظيف لجميع الوظائف الشاغرة وضمن المخطط الزمني وبخيارات تتيح للشركة انتقاء افضل المتقدمين</t>
  </si>
  <si>
    <t>تحديد الاحتياجات التدريبية بالتعاون مع الاقسام وتنفيذ الخطة التدريبية السنوية</t>
  </si>
  <si>
    <t>الإشراف الفعّال على الحركة اليومية للعاملين ومراقبتها والتاكد من سير الدوام اليومي وصرف والإجازات والمغادرات والسلف والقروض بشكل دقيق وبما يتماشى والأنظمة المعمول بها</t>
  </si>
  <si>
    <t>لديه قدره عالية على حل مشاكل وشكاوى العاملين وضمان تطبيق الإجراءات بعدالة وشفافية على جميع الموظفين</t>
  </si>
  <si>
    <t>دقة التقارير المالية والامتثال للمعايير: إعداد الميزانيات وقوائم التدفقات والنتائج بدقة ومطابقتها للواقع ولتوصيات المدقق الخارجي.</t>
  </si>
  <si>
    <t>الالتزام الضريبي والقانوني التام: تقديم كشوفات الضرائب والضمان والجمارك في مواعيدها وتجنب أي غرامات قانونية.</t>
  </si>
  <si>
    <t>كفاءة إدارة النقد والسيولة والبنوك: تنظيم المقبوضات والمدفوعات ومتابعة القروض وضمان توفر السيولة والتحصيل في المواعيد.</t>
  </si>
  <si>
    <t>فعالية الرقابة الداخلية وحماية الأصول: تنفيذ سياسات الجرد الدوري (صناديق ومستودعات) وحماية ممتلكات الشركة من الاختلاس أو الإهمال.</t>
  </si>
  <si>
    <t>إدارة الموازنات التقديرية وتحليل الانحرافات: إعداد الموازنة السنوية ومقارنة الفعلي بالمقدر وتقديم تحليلات تدعم قرار الإدارة.</t>
  </si>
  <si>
    <t>إدارة علاقات الشركاء وعقود النقل: متابعة حسابات الشركاء وتوزيع الأرباح بدقة والإشراف المالي على العطاءات مع الغير.</t>
  </si>
  <si>
    <t>كفاءة التوجيه المحاسبي لمراكز الكلف: ضمان توزيع المصاريف والإيرادات بدقة على مراكز الكلف لإظهار ربحية كل قطاع/عقد.</t>
  </si>
  <si>
    <t>القيادة وتطوير أداء الفريق المالي: إدارة شؤون الموظفين، التدريب، رفع الكفاءة، ومتابعة الالتزام بالأنظمة الداخلية.</t>
  </si>
  <si>
    <t>التواصل الفعال ودعم اتخاذ القرار: جودة العرض في اجتماعات مجلس الإدارة، التنسيق مع الأقسام، وحل شكاوى العملاء بمهنية.</t>
  </si>
  <si>
    <t>المرونة والقدرة على التنفيذ الفني: سرعة الاستجابة للمهام الطارئة، المشاركة في اختيار الكفاءات، وبناء روح الفريق.</t>
  </si>
  <si>
    <t>ضمان انجاز الرواتب الشهرية والحوافز والبدلات والعمل الإضافي ضمن الأنظمة المعمول بها وبدقة وفي الموعد المحددة</t>
  </si>
  <si>
    <t>الالتزام الكامل بقانون العمل الأردني وأنظمة الضمان الاجتماعي والضريبة واية ارتباطات حكومية ترتبط فيها الشركة ( وزارة العمل/ الضمان الاجتماعي)</t>
  </si>
  <si>
    <t xml:space="preserve">إعداد ورفع تقارير دورية دقيقة عن القوى العاملة وأنشطة الموارد البشرية والمشاركة في تقديم الدعم الاجتماعي للعاملين  </t>
  </si>
  <si>
    <t>الإشراف على إتمام متطلبات تقييم الأداء السنوي للموظفين والمشاركة الفاعلة في انعكاس ذلك على تطوير المهارات وتحسين الأداء العام للعاملين</t>
  </si>
  <si>
    <t>زياد سالم حمدان المعايعه</t>
  </si>
  <si>
    <t>مراجعة وتحديث وتطوير السياسات والأنظمة الداخلية التي تحكم العملية الادارية بشكل دوري بما يخدم الأهداف العامة للشركة</t>
  </si>
  <si>
    <t>أمن المعلومات والنسخ الاحتياطي: ضمان سرية البيانات، حماية كلمة السر، وتوفر نسخ احتياطية دورية آمنة ومحدثة.</t>
  </si>
  <si>
    <t>استقرار الأنظمة والشبكة: كفاءة تشغيل الشبكة والأنظمة والبرامج والموقع الإلكتروني دون انقطاع، وسرعة الاستجابة للأعطال.</t>
  </si>
  <si>
    <t>الدعم الفني والصيانة: سرعة حل مشاكل الموظفين التقنية، والالتزام بجدول الصيانة الدورية للأجهزة والبرمجيات.</t>
  </si>
  <si>
    <t>الرقابة والامتثال: مراقبة استخدام الإنترنت والبريد الإلكتروني، ومنع استخدام البرامج غير الأصلية أو غير المصرح بها.</t>
  </si>
  <si>
    <t>التطوير والتحول الرقمي: تنفيذ خطط القسم السنوية، مواكبة التطورات التقنية، وتطوير الربط الإلكتروني للشركة.</t>
  </si>
  <si>
    <t>إدارة الميزانية والنفقات: كفاءة التخطيط المالي لمشتريات القسم والالتزام بالميزانية المعتمدة دون تجاوزات.</t>
  </si>
  <si>
    <t>تطوير وتدريب الفريق: تقييم مهارات موظفي القسم وتوفير التدريب اللازم لهم لرفع كفاءتهم المهنية.</t>
  </si>
  <si>
    <t>إدارة العقود والموردين: متابعة تنفيذ بنود عقود الصيانة والضمان مع الشركات الخارجية وحفظ حقوق الشركة الفنية.</t>
  </si>
  <si>
    <t>التقارير الإدارية والشفافية: الدقة والانتظام في رفع تقارير الأداء اليومية والشهرية والسنوية للإدارة العليا.</t>
  </si>
  <si>
    <t>التواصل الإداري والتوظيف: الفاعلية في اختيار وتوظيف الكفاءات الجديدة، والتنسيق المستمر مع الأقسام الأخرى (HR والمحاسبة).</t>
  </si>
  <si>
    <t>كفاءة إنجاز المعاملات الحكومية وسرعة إنهاء إجراءات الأمانة والترخيص والصناعة والجمارك ضمن الأوقات المحددة</t>
  </si>
  <si>
    <t>دقة تجديد كافة رخص ووثائق الشركة وضمان عدم فوات مواعيد انتهائها بنسبة خطأ صفرية</t>
  </si>
  <si>
    <t>موثوقية العمليات المالية والدقة والأمانة في إيداع وصرف الشيكات والنقدية ومتابعة مطالبات العملاء</t>
  </si>
  <si>
    <t>فعالية الخدمات اللوجستية وضمان وصول وتسلم كافة الخطابات والكتب والطرود للجهات المعنية في وقتها</t>
  </si>
  <si>
    <t>جودة التوريد والمشتريات والقدرة على تأمين مستلزمات الشركة من أفضل الموردين بأعلى جودة وأقل تكلفة</t>
  </si>
  <si>
    <t>التنظيم الإداري والأرشفة وجودة إعداد وحفظ السجلات والملفات المنظمة لكافة المعاملات والعمليات</t>
  </si>
  <si>
    <t>الالتزام بالأنظمة الداخلية والتقيد التام بلوائح الشركة وساعات العمل والمحافظة على الأصول والعهد</t>
  </si>
  <si>
    <t>سرعة الاستجابة والتواصل والمبادرة بإبلاغ المسؤول المباشر بالملاحظات والمشاكل وتقديم تحديثات دورية</t>
  </si>
  <si>
    <t>التعاون وتحقيق أهداف القسم والمشاركة الفعالة في إنجاز المهام الجماعية وتوجيهات الإدارة</t>
  </si>
  <si>
    <t>المرونة في المهام الإضافية وسرعة الاستجابة وكفاءة تنفيذ أي مهام أخرى يكلف بها ضمن اختصاصه</t>
  </si>
  <si>
    <t>دقة مطابقة كميات التحميل والتفريغ ومقارنة وصولات التعويدة من المحطات مع الكميات المحملة فعلياً</t>
  </si>
  <si>
    <t>كفاءة إدخال البيانات الميدانية وسرعة ودقة إدخال كميات الوقود المحملة من الشركة اللوجستية والمصفاة</t>
  </si>
  <si>
    <t>الالتزام بمعايير السلامة والصحة والبيئة في الموقع والإبلاغ الفوري عن أي مخالفات أو مخاطر محتملة</t>
  </si>
  <si>
    <t>جاهزية أسطول الصهاريج وتجهيزات السلامة وتزويد السائقين بالمعدات اللازمة لاجتياز متطلبات التحميل</t>
  </si>
  <si>
    <t>سرعة معالجة مشاكل التحميل والقدرة على التدخل الفعال لحل مشاكل السائقين مع الشركات المشغلة</t>
  </si>
  <si>
    <t>جودة التوثيق والمراسلات وانتظام إرسال وصولات الحمولات المطابقة إلى مدخل البيانات دون تأخير</t>
  </si>
  <si>
    <t>فعالية البلاغات الإدارية وسرعة تبليغ مدير العمليات ومدير السلامة بالأعطال الجسيمة أو المشاكل الفنية</t>
  </si>
  <si>
    <t>المبادرة في تحسين بيئة العمل وتقديم اقتراحات عملية لتحسين متطلبات السلامة وتطوير إجراءات التحميل</t>
  </si>
  <si>
    <t>الالتزام بالسلوك المهني والنظام الداخلي والتقيد بساعات العمل والتعليمات والمحافظة على أصول الشركة</t>
  </si>
  <si>
    <t>المرونة والاستجابة للمهام الطارئة والقدرة على التعامل مع أي مهام إضافية يكلف بها من قبل الإدارة</t>
  </si>
  <si>
    <t>دقة مطابقة كشوفات التحميل والتفريغ مع نظام (رامي) والتأكد من صحة عدد النقلات والكميات والوجهات</t>
  </si>
  <si>
    <t>كفاءة تدقيق مستندات الصرف المستلمة من مدخل البيانات وضمان صحة إدخالها وصرفها بنسبة خطأ صفرية</t>
  </si>
  <si>
    <t>سرعة معالجة الاختلافات المالية ومراجعة الشركات المتعاقد معها فور ظهور أي تضارب في البيانات</t>
  </si>
  <si>
    <t>جودة تجهيز الأعمال الورقية والملفات الخاصة بالعطاءات وتقديمها للمسؤول لرفع المطالبات النهائية</t>
  </si>
  <si>
    <t>دقة التدقيق النهائي على تقارير مطالبات (توتال) بعد معالجتها من قبل مدخل البيانات</t>
  </si>
  <si>
    <t>كفاءة مساندة إدخال البيانات وضمان استمرارية العمل وتدفق المعلومات عند الحاجة أو غياب مدخل البيانات</t>
  </si>
  <si>
    <t>الموثوقية في مساندة إصدار وتسليم الشيكات للشركات والأهالي المتعاقدين وفق الإجراءات المعتمدة</t>
  </si>
  <si>
    <t>الفعالية في تنفيذ المراسلات الخارجية والمهام الميدانية الطارئة حسب متطلبات العمل</t>
  </si>
  <si>
    <t>الروح الجماعية ومساندة موظفي القسم في أعمالهم لضمان تحقيق الأهداف المشتركة للدائرة</t>
  </si>
  <si>
    <t>المرونة في تنفيذ أي أعمال إضافية ضمن الاختصاص والالتزام بتوجيهات المسؤول المباشر</t>
  </si>
  <si>
    <t>دقة إدارة المقبوضات والمدفوعات النقدية اليومية وضمان مطابقتها التامة للرصيد الفعلي في الصندوق</t>
  </si>
  <si>
    <t>جودة تنظيم وأرشفة مستلزمات الصرف والقبض والحرص على اكتمال كافة المعززات والمستندات القانونية</t>
  </si>
  <si>
    <t>دقة تنفيذ عمليات صرف الرواتب والسلف والقروض للموظفين وفقاً للنماذج والتعليمات المعتمدة</t>
  </si>
  <si>
    <t>الالتزام التام بتعليمات صرف السلفة النقدية والتقيد بحدود الصرف المسموح بها</t>
  </si>
  <si>
    <t>الأمانة والموثوقية في حفظ النقدية وتطبيق إجراءات السلامة المتبعة لحماية أموال الشركة</t>
  </si>
  <si>
    <t>سرعة الاستجابة في تبليغ المسؤول المباشر عن أي فوارق مالية أو مشاكل تطرأ على حركة الصندوق</t>
  </si>
  <si>
    <t>الالتزام بالأنظمة الداخلية للشركة والتقيد التام بساعات العمل الرسمية وقواعد السلوك المهني</t>
  </si>
  <si>
    <t>المرونة في أداء المهام الإضافية المسندة إليه وتحمل ضغط العمل ضمن الاعمال التي تدخل في نطاق اختصاصه المالي</t>
  </si>
  <si>
    <t>كفاءة إعداد تقارير حركة النقد اليومية وتقديمها للاعتماد من رئيس قسم المحاسبة في المواعيد المحددة</t>
  </si>
  <si>
    <t>التعاون مع قسم المحاسبة في عمليات الجرد الدوري والمفاجئ للصناديق وتقديم التسهيلات اللازمة للتدقيق</t>
  </si>
  <si>
    <t>استلام وتحليل البلاغات الفنية وطلبات الاصلاح بدقة وتحديد نوع الخدمة والفريق المناسب دون تأخير</t>
  </si>
  <si>
    <t>متابعة تنفيذ أعمال الصيانة داخلياً وخارجياً وضمان الالتزام بالجداول الزمنية والمتابعة بعد الإصلاح</t>
  </si>
  <si>
    <t>تنبيه!!
هذا الملف محمي من قبل مالك التطبيق (شركة رمز لنقل النفط الخام عمان -الاردن) ضمن حقوق النشر والملكية الفكرية وتحت طائلة المسؤولية
للمزيد يرجى الاتصال على 0772607814</t>
  </si>
  <si>
    <t xml:space="preserve">تنويع وتطوير الموردين( إضافة موردين جدد موثوقين وتقليل الاعتماد على مورد واحد) وعمل دراسات دورية للسوق والاسعار لضمان الحصول على افضل الموجود جودة وسعرا </t>
  </si>
  <si>
    <t>عامل بوفيه</t>
  </si>
  <si>
    <t xml:space="preserve">  مهارة إعداد القهوة والشاي وسرعة تقديمها للموظفين والضيوف.</t>
  </si>
  <si>
    <t xml:space="preserve"> الحفاظ الدائم على نظافة الحمامات والمكاتب والممرات العامة طوال اليوم.</t>
  </si>
  <si>
    <t xml:space="preserve"> الالتزام بالهندام المرتب والتعامل المهني المبتسم مع الجميع.</t>
  </si>
  <si>
    <t xml:space="preserve"> الدقة في جولات التفقد الليلية ومنع دخول أي شخص غير مصرح له.</t>
  </si>
  <si>
    <t>الالتزام التام بمواعيد فتح وإغلاق الشركة وتأمين المداخل والمخارج.</t>
  </si>
  <si>
    <t xml:space="preserve"> الالتزام المطلق بعدم إفشاء أسرار المكاتب أو العبث بمحتوياتها.</t>
  </si>
  <si>
    <t xml:space="preserve"> طلب مواد التنظيف والضيافة في وقتها دون إسراف أو نقص.</t>
  </si>
  <si>
    <t>الحضور قبل الدوام لتجهيز الاستراحة وترتيب المكاتب قبل وصول الموظفين.</t>
  </si>
  <si>
    <t>الالتزام بقواعد السلامة في استخدام المنظفات والتعامل مع المخاطر.</t>
  </si>
  <si>
    <t xml:space="preserve"> مساعدة الزملاء في القسم وإنجاز المهام المطلوبة منه دون تذمر.</t>
  </si>
  <si>
    <t>جمال فنون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</si>
</sst>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rgb="FFFF6600"/>
      <name val="Calibri"/>
      <family val="2"/>
    </font>
    <font>
      <b/>
      <sz val="10"/>
      <color rgb="FFFF0000"/>
      <name val="AbdoMaster-Bold"/>
      <family val="3"/>
      <charset val="178"/>
    </font>
    <font>
      <b/>
      <sz val="12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1"/>
      <color rgb="FF0A0A0A"/>
      <name val="Arial"/>
      <family val="2"/>
    </font>
    <font>
      <b/>
      <sz val="9.5"/>
      <color rgb="FF000000"/>
      <name val="Arial"/>
      <family val="2"/>
    </font>
    <font>
      <b/>
      <sz val="14"/>
      <color rgb="FFFF000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theme="4" tint="0.59999389629810485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theme="4" tint="0.59999389629810485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59999389629810485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5" tint="0.39997558519241921"/>
        <bgColor theme="4" tint="0.59999389629810485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5" tint="0.79998168889431442"/>
        <bgColor theme="4" tint="0.59999389629810485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theme="4" tint="0.59999389629810485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rgb="FF99FF66"/>
        <bgColor indexed="64"/>
      </patternFill>
    </fill>
    <fill>
      <patternFill patternType="solid">
        <fgColor rgb="FF99FF66"/>
        <bgColor theme="4" tint="0.59999389629810485"/>
      </patternFill>
    </fill>
    <fill>
      <patternFill patternType="solid">
        <fgColor rgb="FF99FF66"/>
        <bgColor theme="4" tint="0.79998168889431442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theme="4" tint="0.79998168889431442"/>
      </patternFill>
    </fill>
    <fill>
      <patternFill patternType="solid">
        <fgColor rgb="FF66FFFF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rgb="FF00CC00"/>
        <bgColor theme="4" tint="0.59999389629810485"/>
      </patternFill>
    </fill>
    <fill>
      <patternFill patternType="solid">
        <fgColor theme="3" tint="0.59999389629810485"/>
        <bgColor theme="4"/>
      </patternFill>
    </fill>
    <fill>
      <patternFill patternType="solid">
        <fgColor rgb="FFFF99CC"/>
        <bgColor theme="4" tint="0.59999389629810485"/>
      </patternFill>
    </fill>
    <fill>
      <patternFill patternType="solid">
        <fgColor rgb="FFFF99CC"/>
        <bgColor theme="4" tint="0.79998168889431442"/>
      </patternFill>
    </fill>
    <fill>
      <patternFill patternType="solid">
        <fgColor rgb="FFCCFFCC"/>
        <bgColor theme="4" tint="0.59999389629810485"/>
      </patternFill>
    </fill>
    <fill>
      <patternFill patternType="solid">
        <fgColor rgb="FFCCFFCC"/>
        <bgColor theme="4" tint="0.79998168889431442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FFCCCC"/>
        <bgColor indexed="64"/>
      </patternFill>
    </fill>
    <fill>
      <patternFill patternType="solid">
        <fgColor rgb="FFC6D56D"/>
        <bgColor indexed="64"/>
      </patternFill>
    </fill>
    <fill>
      <patternFill patternType="solid">
        <fgColor rgb="FFE0FBA5"/>
        <bgColor indexed="64"/>
      </patternFill>
    </fill>
    <fill>
      <patternFill patternType="solid">
        <fgColor rgb="FFE0FBA5"/>
        <bgColor theme="4" tint="0.59999389629810485"/>
      </patternFill>
    </fill>
    <fill>
      <patternFill patternType="solid">
        <fgColor rgb="FFE0FBA5"/>
        <bgColor theme="4" tint="0.79998168889431442"/>
      </patternFill>
    </fill>
    <fill>
      <patternFill patternType="solid">
        <fgColor rgb="FF00CCFF"/>
        <bgColor indexed="64"/>
      </patternFill>
    </fill>
    <fill>
      <patternFill patternType="solid">
        <fgColor rgb="FFF8F0EC"/>
        <bgColor indexed="64"/>
      </patternFill>
    </fill>
    <fill>
      <patternFill patternType="solid">
        <fgColor rgb="FFBDDEE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/>
      <top style="slantDashDot">
        <color indexed="64"/>
      </top>
      <bottom style="medium">
        <color indexed="64"/>
      </bottom>
      <diagonal/>
    </border>
    <border>
      <left/>
      <right/>
      <top style="slantDashDot">
        <color indexed="64"/>
      </top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medium">
        <color indexed="64"/>
      </top>
      <bottom style="thin">
        <color indexed="64"/>
      </bottom>
      <diagonal/>
    </border>
    <border>
      <left style="slantDashDot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slantDashDot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8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" xfId="0" applyFont="1" applyBorder="1"/>
    <xf numFmtId="0" fontId="4" fillId="0" borderId="12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8" xfId="0" applyFont="1" applyBorder="1"/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9" fontId="4" fillId="0" borderId="6" xfId="1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 readingOrder="1"/>
      <protection locked="0"/>
    </xf>
    <xf numFmtId="0" fontId="6" fillId="12" borderId="7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/>
    </xf>
    <xf numFmtId="0" fontId="4" fillId="9" borderId="9" xfId="0" applyFont="1" applyFill="1" applyBorder="1"/>
    <xf numFmtId="0" fontId="4" fillId="9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1" applyNumberFormat="1" applyFont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10" borderId="5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9" fontId="4" fillId="0" borderId="19" xfId="1" applyFont="1" applyBorder="1" applyAlignment="1">
      <alignment horizontal="center"/>
    </xf>
    <xf numFmtId="0" fontId="7" fillId="11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0" fontId="4" fillId="2" borderId="7" xfId="0" applyFont="1" applyFill="1" applyBorder="1" applyProtection="1">
      <protection locked="0"/>
    </xf>
    <xf numFmtId="0" fontId="2" fillId="4" borderId="17" xfId="0" applyFont="1" applyFill="1" applyBorder="1" applyAlignment="1">
      <alignment horizontal="center" vertical="center"/>
    </xf>
    <xf numFmtId="1" fontId="13" fillId="4" borderId="3" xfId="1" applyNumberFormat="1" applyFont="1" applyFill="1" applyBorder="1" applyAlignment="1" applyProtection="1">
      <alignment horizontal="center"/>
    </xf>
    <xf numFmtId="0" fontId="13" fillId="4" borderId="4" xfId="0" applyFont="1" applyFill="1" applyBorder="1" applyAlignment="1" applyProtection="1">
      <alignment horizontal="center"/>
      <protection locked="0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 wrapText="1" readingOrder="1"/>
      <protection locked="0"/>
    </xf>
    <xf numFmtId="9" fontId="4" fillId="0" borderId="1" xfId="1" applyFont="1" applyBorder="1" applyAlignment="1" applyProtection="1">
      <alignment horizontal="center" vertical="center" readingOrder="1"/>
      <protection locked="0"/>
    </xf>
    <xf numFmtId="0" fontId="4" fillId="0" borderId="0" xfId="0" applyFont="1" applyAlignment="1" applyProtection="1">
      <alignment horizontal="center" vertical="center" readingOrder="1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9" fontId="0" fillId="0" borderId="1" xfId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9" fontId="0" fillId="0" borderId="7" xfId="1" applyFont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9" fontId="0" fillId="0" borderId="20" xfId="1" applyFont="1" applyBorder="1" applyAlignment="1" applyProtection="1">
      <alignment horizontal="center" vertical="center"/>
      <protection locked="0"/>
    </xf>
    <xf numFmtId="9" fontId="0" fillId="0" borderId="0" xfId="1" applyFont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/>
    </xf>
    <xf numFmtId="14" fontId="7" fillId="0" borderId="7" xfId="0" applyNumberFormat="1" applyFont="1" applyBorder="1" applyAlignment="1">
      <alignment horizontal="center"/>
    </xf>
    <xf numFmtId="9" fontId="7" fillId="10" borderId="25" xfId="1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7" fillId="10" borderId="27" xfId="0" applyFont="1" applyFill="1" applyBorder="1" applyAlignment="1">
      <alignment horizontal="center"/>
    </xf>
    <xf numFmtId="0" fontId="7" fillId="10" borderId="28" xfId="0" applyFont="1" applyFill="1" applyBorder="1" applyAlignment="1">
      <alignment horizontal="center"/>
    </xf>
    <xf numFmtId="0" fontId="2" fillId="10" borderId="30" xfId="0" applyFont="1" applyFill="1" applyBorder="1" applyAlignment="1">
      <alignment horizontal="left"/>
    </xf>
    <xf numFmtId="0" fontId="2" fillId="0" borderId="29" xfId="0" applyFont="1" applyBorder="1" applyAlignment="1">
      <alignment horizontal="center"/>
    </xf>
    <xf numFmtId="0" fontId="2" fillId="10" borderId="31" xfId="0" applyFont="1" applyFill="1" applyBorder="1" applyAlignment="1">
      <alignment horizontal="left"/>
    </xf>
    <xf numFmtId="0" fontId="16" fillId="14" borderId="1" xfId="0" applyFont="1" applyFill="1" applyBorder="1" applyAlignment="1">
      <alignment horizontal="center"/>
    </xf>
    <xf numFmtId="0" fontId="16" fillId="14" borderId="1" xfId="0" applyFont="1" applyFill="1" applyBorder="1"/>
    <xf numFmtId="1" fontId="16" fillId="14" borderId="1" xfId="1" applyNumberFormat="1" applyFont="1" applyFill="1" applyBorder="1" applyAlignment="1">
      <alignment horizontal="center"/>
    </xf>
    <xf numFmtId="2" fontId="16" fillId="14" borderId="1" xfId="0" applyNumberFormat="1" applyFont="1" applyFill="1" applyBorder="1" applyAlignment="1">
      <alignment horizontal="center"/>
    </xf>
    <xf numFmtId="0" fontId="7" fillId="32" borderId="1" xfId="0" applyFont="1" applyFill="1" applyBorder="1"/>
    <xf numFmtId="1" fontId="21" fillId="48" borderId="34" xfId="0" applyNumberFormat="1" applyFont="1" applyFill="1" applyBorder="1" applyAlignment="1">
      <alignment horizontal="center" vertical="top" wrapText="1"/>
    </xf>
    <xf numFmtId="0" fontId="5" fillId="0" borderId="21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12" fillId="49" borderId="20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50" borderId="33" xfId="0" applyFont="1" applyFill="1" applyBorder="1" applyAlignment="1">
      <alignment horizontal="center" vertical="center" wrapText="1" readingOrder="2"/>
    </xf>
    <xf numFmtId="0" fontId="22" fillId="50" borderId="32" xfId="0" applyFont="1" applyFill="1" applyBorder="1" applyAlignment="1">
      <alignment horizontal="center" vertical="center" wrapText="1" readingOrder="2"/>
    </xf>
    <xf numFmtId="0" fontId="17" fillId="43" borderId="21" xfId="0" applyFont="1" applyFill="1" applyBorder="1" applyAlignment="1">
      <alignment horizontal="center" vertical="center"/>
    </xf>
    <xf numFmtId="0" fontId="12" fillId="46" borderId="21" xfId="0" applyFont="1" applyFill="1" applyBorder="1" applyAlignment="1">
      <alignment horizontal="center" vertical="center"/>
    </xf>
    <xf numFmtId="0" fontId="12" fillId="47" borderId="21" xfId="0" applyFont="1" applyFill="1" applyBorder="1" applyAlignment="1">
      <alignment horizontal="center" vertical="center"/>
    </xf>
    <xf numFmtId="0" fontId="12" fillId="42" borderId="21" xfId="0" applyFont="1" applyFill="1" applyBorder="1" applyAlignment="1">
      <alignment horizontal="center" vertical="center"/>
    </xf>
    <xf numFmtId="0" fontId="12" fillId="44" borderId="21" xfId="0" applyFont="1" applyFill="1" applyBorder="1" applyAlignment="1">
      <alignment horizontal="center" vertical="center"/>
    </xf>
    <xf numFmtId="0" fontId="12" fillId="45" borderId="21" xfId="0" applyFont="1" applyFill="1" applyBorder="1" applyAlignment="1">
      <alignment horizontal="center" vertical="center"/>
    </xf>
    <xf numFmtId="0" fontId="12" fillId="18" borderId="21" xfId="0" applyFont="1" applyFill="1" applyBorder="1" applyAlignment="1">
      <alignment horizontal="center" vertical="center"/>
    </xf>
    <xf numFmtId="0" fontId="12" fillId="19" borderId="21" xfId="0" applyFont="1" applyFill="1" applyBorder="1" applyAlignment="1">
      <alignment horizontal="center" vertical="center"/>
    </xf>
    <xf numFmtId="0" fontId="12" fillId="10" borderId="21" xfId="0" applyFont="1" applyFill="1" applyBorder="1" applyAlignment="1">
      <alignment horizontal="center"/>
    </xf>
    <xf numFmtId="0" fontId="12" fillId="20" borderId="21" xfId="0" applyFont="1" applyFill="1" applyBorder="1" applyAlignment="1">
      <alignment horizontal="center"/>
    </xf>
    <xf numFmtId="0" fontId="12" fillId="21" borderId="21" xfId="0" applyFont="1" applyFill="1" applyBorder="1" applyAlignment="1">
      <alignment horizontal="center"/>
    </xf>
    <xf numFmtId="0" fontId="12" fillId="13" borderId="21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25" borderId="21" xfId="0" applyFont="1" applyFill="1" applyBorder="1" applyAlignment="1">
      <alignment horizontal="center"/>
    </xf>
    <xf numFmtId="0" fontId="12" fillId="52" borderId="21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center"/>
    </xf>
    <xf numFmtId="0" fontId="12" fillId="15" borderId="21" xfId="0" applyFont="1" applyFill="1" applyBorder="1" applyAlignment="1">
      <alignment horizontal="center"/>
    </xf>
    <xf numFmtId="0" fontId="12" fillId="32" borderId="21" xfId="0" applyFont="1" applyFill="1" applyBorder="1" applyAlignment="1">
      <alignment horizontal="center"/>
    </xf>
    <xf numFmtId="0" fontId="12" fillId="35" borderId="21" xfId="0" applyFont="1" applyFill="1" applyBorder="1" applyAlignment="1">
      <alignment horizontal="center"/>
    </xf>
    <xf numFmtId="0" fontId="12" fillId="38" borderId="21" xfId="0" applyFont="1" applyFill="1" applyBorder="1" applyAlignment="1">
      <alignment horizontal="center" vertical="center"/>
    </xf>
    <xf numFmtId="0" fontId="19" fillId="7" borderId="21" xfId="0" applyFont="1" applyFill="1" applyBorder="1" applyAlignment="1">
      <alignment horizontal="center" vertical="center" wrapText="1"/>
    </xf>
    <xf numFmtId="0" fontId="19" fillId="7" borderId="35" xfId="0" applyFont="1" applyFill="1" applyBorder="1" applyAlignment="1">
      <alignment horizontal="center" vertical="center" wrapText="1"/>
    </xf>
    <xf numFmtId="0" fontId="4" fillId="51" borderId="27" xfId="0" applyFont="1" applyFill="1" applyBorder="1" applyAlignment="1">
      <alignment horizontal="center" vertical="center"/>
    </xf>
    <xf numFmtId="0" fontId="4" fillId="55" borderId="27" xfId="0" applyFont="1" applyFill="1" applyBorder="1" applyAlignment="1">
      <alignment horizontal="center" vertical="center"/>
    </xf>
    <xf numFmtId="0" fontId="4" fillId="55" borderId="17" xfId="0" applyFont="1" applyFill="1" applyBorder="1" applyAlignment="1">
      <alignment horizontal="center" vertical="center"/>
    </xf>
    <xf numFmtId="0" fontId="4" fillId="56" borderId="27" xfId="0" applyFont="1" applyFill="1" applyBorder="1" applyAlignment="1">
      <alignment horizontal="center" vertical="center"/>
    </xf>
    <xf numFmtId="0" fontId="18" fillId="43" borderId="37" xfId="1" applyNumberFormat="1" applyFont="1" applyFill="1" applyBorder="1" applyAlignment="1">
      <alignment horizontal="center"/>
    </xf>
    <xf numFmtId="0" fontId="12" fillId="46" borderId="37" xfId="0" applyFont="1" applyFill="1" applyBorder="1" applyAlignment="1">
      <alignment horizontal="center"/>
    </xf>
    <xf numFmtId="0" fontId="12" fillId="47" borderId="37" xfId="0" applyFont="1" applyFill="1" applyBorder="1" applyAlignment="1">
      <alignment horizontal="center"/>
    </xf>
    <xf numFmtId="0" fontId="12" fillId="42" borderId="37" xfId="0" applyFont="1" applyFill="1" applyBorder="1" applyAlignment="1">
      <alignment horizontal="center" vertical="center"/>
    </xf>
    <xf numFmtId="0" fontId="12" fillId="44" borderId="37" xfId="0" applyFont="1" applyFill="1" applyBorder="1" applyAlignment="1">
      <alignment horizontal="center"/>
    </xf>
    <xf numFmtId="0" fontId="12" fillId="45" borderId="37" xfId="0" applyFont="1" applyFill="1" applyBorder="1" applyAlignment="1">
      <alignment horizontal="center"/>
    </xf>
    <xf numFmtId="0" fontId="19" fillId="18" borderId="37" xfId="1" applyNumberFormat="1" applyFont="1" applyFill="1" applyBorder="1" applyAlignment="1">
      <alignment horizontal="center"/>
    </xf>
    <xf numFmtId="0" fontId="19" fillId="19" borderId="37" xfId="1" applyNumberFormat="1" applyFont="1" applyFill="1" applyBorder="1" applyAlignment="1">
      <alignment horizontal="center"/>
    </xf>
    <xf numFmtId="0" fontId="12" fillId="10" borderId="37" xfId="0" applyFont="1" applyFill="1" applyBorder="1" applyAlignment="1">
      <alignment horizontal="center"/>
    </xf>
    <xf numFmtId="0" fontId="12" fillId="20" borderId="37" xfId="0" applyFont="1" applyFill="1" applyBorder="1" applyAlignment="1">
      <alignment horizontal="center"/>
    </xf>
    <xf numFmtId="0" fontId="12" fillId="21" borderId="37" xfId="0" applyFont="1" applyFill="1" applyBorder="1" applyAlignment="1">
      <alignment horizontal="center"/>
    </xf>
    <xf numFmtId="0" fontId="12" fillId="13" borderId="37" xfId="0" applyFont="1" applyFill="1" applyBorder="1" applyAlignment="1">
      <alignment horizontal="center"/>
    </xf>
    <xf numFmtId="0" fontId="19" fillId="7" borderId="37" xfId="1" applyNumberFormat="1" applyFont="1" applyFill="1" applyBorder="1" applyAlignment="1">
      <alignment horizontal="center"/>
    </xf>
    <xf numFmtId="0" fontId="12" fillId="23" borderId="37" xfId="0" applyFont="1" applyFill="1" applyBorder="1" applyAlignment="1">
      <alignment horizontal="center"/>
    </xf>
    <xf numFmtId="0" fontId="12" fillId="22" borderId="37" xfId="0" applyFont="1" applyFill="1" applyBorder="1" applyAlignment="1">
      <alignment horizontal="center"/>
    </xf>
    <xf numFmtId="0" fontId="19" fillId="24" borderId="37" xfId="1" applyNumberFormat="1" applyFont="1" applyFill="1" applyBorder="1" applyAlignment="1">
      <alignment horizontal="center" vertical="center" wrapText="1"/>
    </xf>
    <xf numFmtId="0" fontId="19" fillId="8" borderId="37" xfId="1" applyNumberFormat="1" applyFont="1" applyFill="1" applyBorder="1" applyAlignment="1">
      <alignment horizontal="center"/>
    </xf>
    <xf numFmtId="0" fontId="19" fillId="25" borderId="37" xfId="0" applyFont="1" applyFill="1" applyBorder="1" applyAlignment="1">
      <alignment horizontal="center" vertical="center" readingOrder="2"/>
    </xf>
    <xf numFmtId="0" fontId="12" fillId="53" borderId="37" xfId="0" applyFont="1" applyFill="1" applyBorder="1" applyAlignment="1">
      <alignment horizontal="center"/>
    </xf>
    <xf numFmtId="0" fontId="12" fillId="54" borderId="37" xfId="0" applyFont="1" applyFill="1" applyBorder="1" applyAlignment="1">
      <alignment horizontal="center"/>
    </xf>
    <xf numFmtId="0" fontId="12" fillId="28" borderId="37" xfId="0" applyFont="1" applyFill="1" applyBorder="1" applyAlignment="1">
      <alignment horizontal="center"/>
    </xf>
    <xf numFmtId="0" fontId="12" fillId="29" borderId="37" xfId="0" applyFont="1" applyFill="1" applyBorder="1" applyAlignment="1">
      <alignment horizontal="center"/>
    </xf>
    <xf numFmtId="0" fontId="12" fillId="30" borderId="37" xfId="0" applyFont="1" applyFill="1" applyBorder="1" applyAlignment="1">
      <alignment horizontal="center"/>
    </xf>
    <xf numFmtId="0" fontId="12" fillId="31" borderId="37" xfId="0" applyFont="1" applyFill="1" applyBorder="1" applyAlignment="1">
      <alignment horizontal="center"/>
    </xf>
    <xf numFmtId="0" fontId="12" fillId="33" borderId="37" xfId="0" applyFont="1" applyFill="1" applyBorder="1" applyAlignment="1">
      <alignment horizontal="center"/>
    </xf>
    <xf numFmtId="0" fontId="12" fillId="34" borderId="37" xfId="0" applyFont="1" applyFill="1" applyBorder="1" applyAlignment="1">
      <alignment horizontal="center"/>
    </xf>
    <xf numFmtId="0" fontId="12" fillId="36" borderId="37" xfId="0" applyFont="1" applyFill="1" applyBorder="1" applyAlignment="1">
      <alignment horizontal="center"/>
    </xf>
    <xf numFmtId="0" fontId="12" fillId="37" borderId="37" xfId="0" applyFont="1" applyFill="1" applyBorder="1" applyAlignment="1">
      <alignment horizontal="center"/>
    </xf>
    <xf numFmtId="0" fontId="19" fillId="38" borderId="37" xfId="1" applyNumberFormat="1" applyFont="1" applyFill="1" applyBorder="1" applyAlignment="1">
      <alignment horizontal="center" vertical="center" wrapText="1"/>
    </xf>
    <xf numFmtId="0" fontId="12" fillId="7" borderId="37" xfId="0" applyFont="1" applyFill="1" applyBorder="1" applyAlignment="1">
      <alignment horizontal="center"/>
    </xf>
    <xf numFmtId="0" fontId="12" fillId="7" borderId="38" xfId="0" applyFont="1" applyFill="1" applyBorder="1" applyAlignment="1">
      <alignment horizontal="center"/>
    </xf>
    <xf numFmtId="1" fontId="21" fillId="48" borderId="33" xfId="0" applyNumberFormat="1" applyFont="1" applyFill="1" applyBorder="1" applyAlignment="1">
      <alignment horizontal="center" vertical="top" wrapText="1"/>
    </xf>
    <xf numFmtId="0" fontId="4" fillId="51" borderId="33" xfId="1" applyNumberFormat="1" applyFont="1" applyFill="1" applyBorder="1" applyAlignment="1">
      <alignment horizontal="center"/>
    </xf>
    <xf numFmtId="0" fontId="9" fillId="55" borderId="33" xfId="1" applyNumberFormat="1" applyFont="1" applyFill="1" applyBorder="1" applyAlignment="1">
      <alignment horizontal="center"/>
    </xf>
    <xf numFmtId="0" fontId="9" fillId="55" borderId="32" xfId="1" applyNumberFormat="1" applyFont="1" applyFill="1" applyBorder="1" applyAlignment="1">
      <alignment horizontal="center"/>
    </xf>
    <xf numFmtId="0" fontId="9" fillId="56" borderId="33" xfId="1" applyNumberFormat="1" applyFont="1" applyFill="1" applyBorder="1" applyAlignment="1">
      <alignment horizontal="center"/>
    </xf>
    <xf numFmtId="0" fontId="4" fillId="48" borderId="27" xfId="0" applyFont="1" applyFill="1" applyBorder="1" applyAlignment="1">
      <alignment horizontal="center"/>
    </xf>
    <xf numFmtId="0" fontId="4" fillId="48" borderId="36" xfId="0" applyFont="1" applyFill="1" applyBorder="1" applyAlignment="1">
      <alignment horizontal="center"/>
    </xf>
    <xf numFmtId="0" fontId="4" fillId="50" borderId="27" xfId="0" applyFont="1" applyFill="1" applyBorder="1" applyAlignment="1">
      <alignment horizontal="center"/>
    </xf>
    <xf numFmtId="0" fontId="5" fillId="9" borderId="1" xfId="0" applyFont="1" applyFill="1" applyBorder="1" applyAlignment="1">
      <alignment vertical="top" wrapText="1"/>
    </xf>
    <xf numFmtId="0" fontId="4" fillId="57" borderId="1" xfId="0" applyFont="1" applyFill="1" applyBorder="1" applyAlignment="1">
      <alignment horizontal="center" vertical="center"/>
    </xf>
    <xf numFmtId="0" fontId="4" fillId="56" borderId="17" xfId="0" applyFont="1" applyFill="1" applyBorder="1" applyAlignment="1">
      <alignment horizontal="center" vertical="center"/>
    </xf>
    <xf numFmtId="0" fontId="9" fillId="56" borderId="32" xfId="1" applyNumberFormat="1" applyFont="1" applyFill="1" applyBorder="1" applyAlignment="1">
      <alignment horizontal="center"/>
    </xf>
    <xf numFmtId="0" fontId="5" fillId="57" borderId="1" xfId="0" applyFont="1" applyFill="1" applyBorder="1" applyAlignment="1">
      <alignment horizontal="center"/>
    </xf>
    <xf numFmtId="0" fontId="4" fillId="58" borderId="1" xfId="0" applyFont="1" applyFill="1" applyBorder="1" applyAlignment="1">
      <alignment horizontal="center" vertical="center"/>
    </xf>
    <xf numFmtId="0" fontId="5" fillId="58" borderId="1" xfId="0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0" fontId="2" fillId="32" borderId="1" xfId="0" applyFont="1" applyFill="1" applyBorder="1"/>
    <xf numFmtId="9" fontId="23" fillId="0" borderId="1" xfId="1" applyFont="1" applyBorder="1" applyAlignment="1" applyProtection="1">
      <alignment horizontal="center"/>
    </xf>
    <xf numFmtId="0" fontId="5" fillId="9" borderId="16" xfId="0" applyFont="1" applyFill="1" applyBorder="1" applyAlignment="1">
      <alignment vertical="top" wrapText="1"/>
    </xf>
    <xf numFmtId="0" fontId="5" fillId="41" borderId="0" xfId="0" applyFont="1" applyFill="1" applyAlignment="1">
      <alignment vertical="top" wrapText="1"/>
    </xf>
    <xf numFmtId="0" fontId="9" fillId="0" borderId="0" xfId="1" applyNumberFormat="1" applyFont="1" applyBorder="1" applyAlignment="1">
      <alignment horizontal="center"/>
    </xf>
    <xf numFmtId="0" fontId="4" fillId="58" borderId="2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right"/>
    </xf>
    <xf numFmtId="0" fontId="17" fillId="43" borderId="1" xfId="0" applyFont="1" applyFill="1" applyBorder="1" applyAlignment="1">
      <alignment horizontal="right" vertical="top" wrapText="1"/>
    </xf>
    <xf numFmtId="0" fontId="19" fillId="46" borderId="1" xfId="1" applyNumberFormat="1" applyFont="1" applyFill="1" applyBorder="1" applyAlignment="1">
      <alignment horizontal="right"/>
    </xf>
    <xf numFmtId="0" fontId="19" fillId="47" borderId="1" xfId="1" applyNumberFormat="1" applyFont="1" applyFill="1" applyBorder="1" applyAlignment="1">
      <alignment horizontal="right"/>
    </xf>
    <xf numFmtId="0" fontId="12" fillId="42" borderId="1" xfId="0" applyFont="1" applyFill="1" applyBorder="1" applyAlignment="1">
      <alignment horizontal="right" vertical="center"/>
    </xf>
    <xf numFmtId="0" fontId="19" fillId="44" borderId="1" xfId="1" applyNumberFormat="1" applyFont="1" applyFill="1" applyBorder="1" applyAlignment="1">
      <alignment horizontal="right"/>
    </xf>
    <xf numFmtId="0" fontId="19" fillId="45" borderId="1" xfId="1" applyNumberFormat="1" applyFont="1" applyFill="1" applyBorder="1" applyAlignment="1">
      <alignment horizontal="right"/>
    </xf>
    <xf numFmtId="0" fontId="19" fillId="45" borderId="1" xfId="0" applyFont="1" applyFill="1" applyBorder="1" applyAlignment="1">
      <alignment horizontal="right"/>
    </xf>
    <xf numFmtId="0" fontId="19" fillId="44" borderId="1" xfId="0" applyFont="1" applyFill="1" applyBorder="1" applyAlignment="1">
      <alignment horizontal="right"/>
    </xf>
    <xf numFmtId="0" fontId="12" fillId="18" borderId="1" xfId="0" applyFont="1" applyFill="1" applyBorder="1" applyAlignment="1">
      <alignment horizontal="right" vertical="center"/>
    </xf>
    <xf numFmtId="0" fontId="12" fillId="19" borderId="1" xfId="0" applyFont="1" applyFill="1" applyBorder="1" applyAlignment="1">
      <alignment horizontal="right" vertical="center"/>
    </xf>
    <xf numFmtId="0" fontId="19" fillId="10" borderId="1" xfId="1" applyNumberFormat="1" applyFont="1" applyFill="1" applyBorder="1" applyAlignment="1">
      <alignment horizontal="right"/>
    </xf>
    <xf numFmtId="0" fontId="19" fillId="20" borderId="1" xfId="1" applyNumberFormat="1" applyFont="1" applyFill="1" applyBorder="1" applyAlignment="1">
      <alignment horizontal="right"/>
    </xf>
    <xf numFmtId="0" fontId="19" fillId="21" borderId="1" xfId="1" applyNumberFormat="1" applyFont="1" applyFill="1" applyBorder="1" applyAlignment="1">
      <alignment horizontal="right"/>
    </xf>
    <xf numFmtId="0" fontId="19" fillId="13" borderId="1" xfId="1" applyNumberFormat="1" applyFont="1" applyFill="1" applyBorder="1" applyAlignment="1">
      <alignment horizontal="right"/>
    </xf>
    <xf numFmtId="0" fontId="19" fillId="52" borderId="1" xfId="1" applyNumberFormat="1" applyFont="1" applyFill="1" applyBorder="1" applyAlignment="1">
      <alignment horizontal="right" vertical="center"/>
    </xf>
    <xf numFmtId="0" fontId="12" fillId="22" borderId="1" xfId="0" applyFont="1" applyFill="1" applyBorder="1" applyAlignment="1">
      <alignment horizontal="right" vertical="center"/>
    </xf>
    <xf numFmtId="0" fontId="12" fillId="23" borderId="1" xfId="0" applyFont="1" applyFill="1" applyBorder="1" applyAlignment="1">
      <alignment horizontal="right" vertical="center"/>
    </xf>
    <xf numFmtId="0" fontId="20" fillId="24" borderId="1" xfId="0" applyFont="1" applyFill="1" applyBorder="1" applyAlignment="1">
      <alignment horizontal="right" vertical="center" wrapText="1"/>
    </xf>
    <xf numFmtId="0" fontId="12" fillId="8" borderId="1" xfId="0" applyFont="1" applyFill="1" applyBorder="1" applyAlignment="1">
      <alignment horizontal="right" vertical="center"/>
    </xf>
    <xf numFmtId="0" fontId="12" fillId="26" borderId="1" xfId="0" applyFont="1" applyFill="1" applyBorder="1" applyAlignment="1">
      <alignment horizontal="right" vertical="center"/>
    </xf>
    <xf numFmtId="0" fontId="12" fillId="27" borderId="1" xfId="0" applyFont="1" applyFill="1" applyBorder="1" applyAlignment="1">
      <alignment horizontal="right" vertical="center"/>
    </xf>
    <xf numFmtId="0" fontId="19" fillId="52" borderId="1" xfId="0" applyFont="1" applyFill="1" applyBorder="1" applyAlignment="1">
      <alignment horizontal="right" vertical="center" wrapText="1"/>
    </xf>
    <xf numFmtId="0" fontId="19" fillId="4" borderId="1" xfId="1" applyNumberFormat="1" applyFont="1" applyFill="1" applyBorder="1" applyAlignment="1">
      <alignment horizontal="right" vertical="center"/>
    </xf>
    <xf numFmtId="0" fontId="19" fillId="4" borderId="1" xfId="1" applyNumberFormat="1" applyFont="1" applyFill="1" applyBorder="1" applyAlignment="1">
      <alignment horizontal="right" vertical="center" wrapText="1"/>
    </xf>
    <xf numFmtId="0" fontId="19" fillId="15" borderId="1" xfId="0" applyFont="1" applyFill="1" applyBorder="1" applyAlignment="1">
      <alignment horizontal="right" vertical="center" wrapText="1"/>
    </xf>
    <xf numFmtId="0" fontId="19" fillId="32" borderId="1" xfId="0" applyFont="1" applyFill="1" applyBorder="1" applyAlignment="1">
      <alignment horizontal="right" vertical="center" wrapText="1"/>
    </xf>
    <xf numFmtId="0" fontId="19" fillId="32" borderId="1" xfId="0" applyFont="1" applyFill="1" applyBorder="1" applyAlignment="1">
      <alignment horizontal="right"/>
    </xf>
    <xf numFmtId="0" fontId="19" fillId="35" borderId="1" xfId="0" applyFont="1" applyFill="1" applyBorder="1" applyAlignment="1">
      <alignment horizontal="right" vertical="center" wrapText="1"/>
    </xf>
    <xf numFmtId="0" fontId="19" fillId="38" borderId="1" xfId="0" applyFont="1" applyFill="1" applyBorder="1" applyAlignment="1">
      <alignment horizontal="right" vertical="center" wrapText="1"/>
    </xf>
    <xf numFmtId="0" fontId="12" fillId="39" borderId="1" xfId="0" applyFont="1" applyFill="1" applyBorder="1" applyAlignment="1">
      <alignment horizontal="right" vertical="center" wrapText="1"/>
    </xf>
    <xf numFmtId="0" fontId="12" fillId="40" borderId="1" xfId="0" applyFont="1" applyFill="1" applyBorder="1" applyAlignment="1">
      <alignment horizontal="right"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1" fillId="48" borderId="1" xfId="0" applyFont="1" applyFill="1" applyBorder="1" applyAlignment="1">
      <alignment horizontal="right" vertical="top" wrapText="1"/>
    </xf>
    <xf numFmtId="0" fontId="22" fillId="50" borderId="1" xfId="0" applyFont="1" applyFill="1" applyBorder="1" applyAlignment="1">
      <alignment horizontal="right" vertical="center" wrapText="1" readingOrder="2"/>
    </xf>
    <xf numFmtId="0" fontId="21" fillId="51" borderId="1" xfId="0" applyFont="1" applyFill="1" applyBorder="1" applyAlignment="1">
      <alignment horizontal="right" vertical="top" wrapText="1"/>
    </xf>
    <xf numFmtId="0" fontId="4" fillId="55" borderId="1" xfId="0" applyFont="1" applyFill="1" applyBorder="1" applyAlignment="1">
      <alignment horizontal="right" vertical="top" wrapText="1"/>
    </xf>
    <xf numFmtId="0" fontId="4" fillId="56" borderId="1" xfId="0" applyFont="1" applyFill="1" applyBorder="1" applyAlignment="1">
      <alignment horizontal="right" vertical="top" wrapText="1"/>
    </xf>
    <xf numFmtId="0" fontId="4" fillId="56" borderId="7" xfId="0" applyFont="1" applyFill="1" applyBorder="1" applyAlignment="1">
      <alignment horizontal="right" vertical="top" wrapText="1"/>
    </xf>
    <xf numFmtId="0" fontId="4" fillId="57" borderId="1" xfId="0" applyFont="1" applyFill="1" applyBorder="1" applyAlignment="1">
      <alignment horizontal="right" vertical="top" wrapText="1"/>
    </xf>
    <xf numFmtId="0" fontId="4" fillId="58" borderId="39" xfId="0" applyFont="1" applyFill="1" applyBorder="1" applyAlignment="1">
      <alignment horizontal="right" vertical="top" wrapText="1"/>
    </xf>
    <xf numFmtId="0" fontId="4" fillId="58" borderId="40" xfId="0" applyFont="1" applyFill="1" applyBorder="1" applyAlignment="1">
      <alignment horizontal="right" vertical="top" wrapText="1"/>
    </xf>
    <xf numFmtId="0" fontId="4" fillId="58" borderId="1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right" vertical="center" indent="1"/>
    </xf>
    <xf numFmtId="0" fontId="9" fillId="0" borderId="1" xfId="1" applyNumberFormat="1" applyFont="1" applyBorder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12" fillId="49" borderId="21" xfId="0" applyFont="1" applyFill="1" applyBorder="1" applyAlignment="1">
      <alignment horizontal="center" vertical="center"/>
    </xf>
    <xf numFmtId="0" fontId="24" fillId="59" borderId="0" xfId="0" applyFont="1" applyFill="1" applyAlignment="1">
      <alignment horizontal="center" vertical="top" wrapText="1"/>
    </xf>
    <xf numFmtId="0" fontId="2" fillId="17" borderId="8" xfId="0" applyFont="1" applyFill="1" applyBorder="1" applyAlignment="1">
      <alignment horizontal="right" vertical="top"/>
    </xf>
    <xf numFmtId="0" fontId="2" fillId="17" borderId="9" xfId="0" applyFont="1" applyFill="1" applyBorder="1" applyAlignment="1">
      <alignment horizontal="right" vertical="top"/>
    </xf>
    <xf numFmtId="0" fontId="2" fillId="17" borderId="10" xfId="0" applyFont="1" applyFill="1" applyBorder="1" applyAlignment="1">
      <alignment horizontal="right" vertical="top"/>
    </xf>
    <xf numFmtId="0" fontId="2" fillId="17" borderId="18" xfId="0" applyFont="1" applyFill="1" applyBorder="1" applyAlignment="1">
      <alignment horizontal="right" vertical="top"/>
    </xf>
    <xf numFmtId="0" fontId="2" fillId="17" borderId="14" xfId="0" applyFont="1" applyFill="1" applyBorder="1" applyAlignment="1">
      <alignment horizontal="right" vertical="top"/>
    </xf>
    <xf numFmtId="0" fontId="2" fillId="17" borderId="15" xfId="0" applyFont="1" applyFill="1" applyBorder="1" applyAlignment="1">
      <alignment horizontal="right" vertical="top"/>
    </xf>
    <xf numFmtId="0" fontId="2" fillId="16" borderId="8" xfId="0" applyFont="1" applyFill="1" applyBorder="1" applyAlignment="1">
      <alignment horizontal="right" vertical="top" wrapText="1"/>
    </xf>
    <xf numFmtId="0" fontId="2" fillId="16" borderId="9" xfId="0" applyFont="1" applyFill="1" applyBorder="1" applyAlignment="1">
      <alignment horizontal="right" vertical="top"/>
    </xf>
    <xf numFmtId="0" fontId="2" fillId="16" borderId="10" xfId="0" applyFont="1" applyFill="1" applyBorder="1" applyAlignment="1">
      <alignment horizontal="right" vertical="top"/>
    </xf>
    <xf numFmtId="0" fontId="2" fillId="16" borderId="11" xfId="0" applyFont="1" applyFill="1" applyBorder="1" applyAlignment="1">
      <alignment horizontal="right" vertical="top"/>
    </xf>
    <xf numFmtId="0" fontId="2" fillId="16" borderId="0" xfId="0" applyFont="1" applyFill="1" applyAlignment="1">
      <alignment horizontal="right" vertical="top"/>
    </xf>
    <xf numFmtId="0" fontId="2" fillId="16" borderId="12" xfId="0" applyFont="1" applyFill="1" applyBorder="1" applyAlignment="1">
      <alignment horizontal="right" vertical="top"/>
    </xf>
    <xf numFmtId="0" fontId="2" fillId="16" borderId="18" xfId="0" applyFont="1" applyFill="1" applyBorder="1" applyAlignment="1">
      <alignment horizontal="right" vertical="top"/>
    </xf>
    <xf numFmtId="0" fontId="2" fillId="16" borderId="14" xfId="0" applyFont="1" applyFill="1" applyBorder="1" applyAlignment="1">
      <alignment horizontal="right" vertical="top"/>
    </xf>
    <xf numFmtId="0" fontId="2" fillId="16" borderId="15" xfId="0" applyFont="1" applyFill="1" applyBorder="1" applyAlignment="1">
      <alignment horizontal="right" vertical="top"/>
    </xf>
    <xf numFmtId="1" fontId="12" fillId="6" borderId="8" xfId="0" applyNumberFormat="1" applyFont="1" applyFill="1" applyBorder="1" applyAlignment="1">
      <alignment horizontal="center" vertical="top" wrapText="1"/>
    </xf>
    <xf numFmtId="1" fontId="12" fillId="6" borderId="9" xfId="0" applyNumberFormat="1" applyFont="1" applyFill="1" applyBorder="1" applyAlignment="1">
      <alignment horizontal="center" vertical="top"/>
    </xf>
    <xf numFmtId="1" fontId="12" fillId="6" borderId="10" xfId="0" applyNumberFormat="1" applyFont="1" applyFill="1" applyBorder="1" applyAlignment="1">
      <alignment horizontal="center" vertical="top"/>
    </xf>
    <xf numFmtId="1" fontId="12" fillId="6" borderId="18" xfId="0" applyNumberFormat="1" applyFont="1" applyFill="1" applyBorder="1" applyAlignment="1">
      <alignment horizontal="center" vertical="top"/>
    </xf>
    <xf numFmtId="1" fontId="12" fillId="6" borderId="14" xfId="0" applyNumberFormat="1" applyFont="1" applyFill="1" applyBorder="1" applyAlignment="1">
      <alignment horizontal="center" vertical="top"/>
    </xf>
    <xf numFmtId="1" fontId="12" fillId="6" borderId="15" xfId="0" applyNumberFormat="1" applyFont="1" applyFill="1" applyBorder="1" applyAlignment="1">
      <alignment horizontal="center" vertical="top"/>
    </xf>
    <xf numFmtId="0" fontId="15" fillId="2" borderId="23" xfId="0" applyFont="1" applyFill="1" applyBorder="1" applyAlignment="1">
      <alignment horizontal="center"/>
    </xf>
    <xf numFmtId="0" fontId="15" fillId="2" borderId="2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b/>
        <i val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99"/>
      <color rgb="FFBDDEE3"/>
      <color rgb="FFE0FBA5"/>
      <color rgb="FFF8F0EC"/>
      <color rgb="FF00CCFF"/>
      <color rgb="FFC6D56D"/>
      <color rgb="FF030402"/>
      <color rgb="FFFFCCCC"/>
      <color rgb="FF00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64921105385499E-2"/>
          <c:y val="2.9163097549182081E-2"/>
          <c:w val="0.91217560418581001"/>
          <c:h val="0.8563497192263125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'نموذج التقييم النهائي'!$G$16</c:f>
              <c:strCache>
                <c:ptCount val="1"/>
                <c:pt idx="0">
                  <c:v>التقييم الشهري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'نموذج التقييم النهائي'!$F$17:$F$28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'نموذج التقييم النهائي'!$G$17:$G$28</c:f>
              <c:numCache>
                <c:formatCode>0%</c:formatCode>
                <c:ptCount val="12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C-4BB3-B6D8-FBD72AB60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623720640"/>
        <c:axId val="6237009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'نموذج التقييم النهائي'!$F$16</c15:sqref>
                        </c15:formulaRef>
                      </c:ext>
                    </c:extLst>
                    <c:strCache>
                      <c:ptCount val="1"/>
                      <c:pt idx="0">
                        <c:v>الشهر</c:v>
                      </c:pt>
                    </c:strCache>
                  </c:strRef>
                </c:tx>
                <c:spPr>
                  <a:solidFill>
                    <a:schemeClr val="accent2"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'نموذج التقييم النهائي'!$F$17:$F$28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'نموذج التقييم النهائي'!$F$17:$F$28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B8C-4BB3-B6D8-FBD72AB60338}"/>
                  </c:ext>
                </c:extLst>
              </c15:ser>
            </c15:filteredBarSeries>
          </c:ext>
        </c:extLst>
      </c:barChart>
      <c:catAx>
        <c:axId val="6237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420000" spcFirstLastPara="1" vertOverflow="ellipsis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00960"/>
        <c:crosses val="autoZero"/>
        <c:auto val="0"/>
        <c:lblAlgn val="ctr"/>
        <c:lblOffset val="100"/>
        <c:noMultiLvlLbl val="0"/>
      </c:catAx>
      <c:valAx>
        <c:axId val="6237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20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</xdr:col>
      <xdr:colOff>1190625</xdr:colOff>
      <xdr:row>19</xdr:row>
      <xdr:rowOff>219076</xdr:rowOff>
    </xdr:to>
    <xdr:sp macro="[0]!SaveMonthlyEvaluation" textlink="">
      <xdr:nvSpPr>
        <xdr:cNvPr id="2" name="SaveButton">
          <a:extLst>
            <a:ext uri="{FF2B5EF4-FFF2-40B4-BE49-F238E27FC236}">
              <a16:creationId xmlns:a16="http://schemas.microsoft.com/office/drawing/2014/main" id="{78494164-6C21-BB16-5327-13A5C550B0A3}"/>
            </a:ext>
          </a:extLst>
        </xdr:cNvPr>
        <xdr:cNvSpPr/>
      </xdr:nvSpPr>
      <xdr:spPr>
        <a:xfrm>
          <a:off x="9988238850" y="4295775"/>
          <a:ext cx="1190625" cy="457201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حفظ التقييم</a:t>
          </a:r>
          <a:endParaRPr lang="en-GB" sz="1400" b="1">
            <a:solidFill>
              <a:sysClr val="windowText" lastClr="000000"/>
            </a:solidFill>
          </a:endParaRPr>
        </a:p>
        <a:p>
          <a:pPr algn="ctr" rtl="1"/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14</xdr:row>
      <xdr:rowOff>95250</xdr:rowOff>
    </xdr:from>
    <xdr:to>
      <xdr:col>6</xdr:col>
      <xdr:colOff>9525</xdr:colOff>
      <xdr:row>27</xdr:row>
      <xdr:rowOff>42569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89939-BBAC-14F6-0231-AF6FCCEAF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2762250"/>
          <a:ext cx="1952625" cy="24238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46464</xdr:colOff>
      <xdr:row>2</xdr:row>
      <xdr:rowOff>46464</xdr:rowOff>
    </xdr:from>
    <xdr:to>
      <xdr:col>6</xdr:col>
      <xdr:colOff>836342</xdr:colOff>
      <xdr:row>12</xdr:row>
      <xdr:rowOff>232316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844903-3A3B-FA17-5BBB-6E0B3CF7A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1080274</xdr:colOff>
      <xdr:row>0</xdr:row>
      <xdr:rowOff>41462</xdr:rowOff>
    </xdr:from>
    <xdr:to>
      <xdr:col>0</xdr:col>
      <xdr:colOff>1858536</xdr:colOff>
      <xdr:row>2</xdr:row>
      <xdr:rowOff>418170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D5B1E2-BE08-F34E-54D5-A8F531FB9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3339970" y="41462"/>
          <a:ext cx="778262" cy="911037"/>
        </a:xfrm>
        <a:prstGeom prst="rect">
          <a:avLst/>
        </a:prstGeom>
      </xdr:spPr>
    </xdr:pic>
    <xdr:clientData/>
  </xdr:twoCellAnchor>
  <xdr:twoCellAnchor>
    <xdr:from>
      <xdr:col>0</xdr:col>
      <xdr:colOff>159778</xdr:colOff>
      <xdr:row>3</xdr:row>
      <xdr:rowOff>46463</xdr:rowOff>
    </xdr:from>
    <xdr:to>
      <xdr:col>0</xdr:col>
      <xdr:colOff>2485793</xdr:colOff>
      <xdr:row>4</xdr:row>
      <xdr:rowOff>139390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96569E-B1C9-F9A1-4B8A-9B22ED23E381}"/>
            </a:ext>
          </a:extLst>
        </xdr:cNvPr>
        <xdr:cNvSpPr txBox="1"/>
      </xdr:nvSpPr>
      <xdr:spPr>
        <a:xfrm>
          <a:off x="9902712713" y="998963"/>
          <a:ext cx="2326015" cy="3368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EG" sz="1400" b="1"/>
            <a:t>نموذج التقييم السنوي للموظفين </a:t>
          </a:r>
          <a:endParaRPr lang="en-GB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428625</xdr:colOff>
          <xdr:row>30</xdr:row>
          <xdr:rowOff>0</xdr:rowOff>
        </xdr:from>
        <xdr:to>
          <xdr:col>6</xdr:col>
          <xdr:colOff>676275</xdr:colOff>
          <xdr:row>30</xdr:row>
          <xdr:rowOff>266700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8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GB" sz="1100" b="1" i="0" u="none" strike="noStrike" baseline="0">
                  <a:solidFill>
                    <a:srgbClr val="FF6600"/>
                  </a:solidFill>
                  <a:latin typeface="Calibri"/>
                  <a:ea typeface="Calibri"/>
                  <a:cs typeface="Calibri"/>
                </a:rPr>
                <a:t>معاينة الطباعة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31</xdr:row>
          <xdr:rowOff>19050</xdr:rowOff>
        </xdr:from>
        <xdr:to>
          <xdr:col>6</xdr:col>
          <xdr:colOff>790575</xdr:colOff>
          <xdr:row>32</xdr:row>
          <xdr:rowOff>142875</xdr:rowOff>
        </xdr:to>
        <xdr:sp macro="" textlink="">
          <xdr:nvSpPr>
            <xdr:cNvPr id="2056" name="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8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1">
                <a:defRPr sz="1000"/>
              </a:pPr>
              <a:r>
                <a:rPr lang="en-GB" sz="14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طباعة التقرير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0"/>
  <sheetViews>
    <sheetView rightToLeft="1" workbookViewId="0">
      <pane ySplit="1" topLeftCell="A79" activePane="bottomLeft" state="frozen"/>
      <selection pane="bottomLeft" activeCell="D7" sqref="D7"/>
    </sheetView>
  </sheetViews>
  <sheetFormatPr defaultRowHeight="15" x14ac:dyDescent="0.25"/>
  <cols>
    <col min="1" max="1" width="29.28515625" bestFit="1" customWidth="1"/>
    <col min="2" max="2" width="25.140625" style="93" bestFit="1" customWidth="1"/>
    <col min="3" max="3" width="15.5703125" bestFit="1" customWidth="1"/>
    <col min="4" max="4" width="10.28515625" bestFit="1" customWidth="1"/>
  </cols>
  <sheetData>
    <row r="1" spans="1:4" ht="17.25" x14ac:dyDescent="0.3">
      <c r="A1" s="87" t="s">
        <v>0</v>
      </c>
      <c r="B1" s="92" t="s">
        <v>1</v>
      </c>
      <c r="C1" s="87" t="s">
        <v>139</v>
      </c>
      <c r="D1" s="87" t="s">
        <v>147</v>
      </c>
    </row>
    <row r="2" spans="1:4" x14ac:dyDescent="0.25">
      <c r="A2" s="8" t="s">
        <v>361</v>
      </c>
      <c r="B2" s="65" t="s">
        <v>341</v>
      </c>
      <c r="C2" s="8" t="s">
        <v>144</v>
      </c>
      <c r="D2" s="8" t="s">
        <v>150</v>
      </c>
    </row>
    <row r="3" spans="1:4" ht="15.75" x14ac:dyDescent="0.25">
      <c r="A3" s="8" t="s">
        <v>2</v>
      </c>
      <c r="B3" s="91" t="s">
        <v>3</v>
      </c>
      <c r="C3" s="8" t="s">
        <v>140</v>
      </c>
      <c r="D3" s="8" t="s">
        <v>107</v>
      </c>
    </row>
    <row r="4" spans="1:4" x14ac:dyDescent="0.25">
      <c r="A4" s="8" t="s">
        <v>4</v>
      </c>
      <c r="B4" s="65" t="s">
        <v>5</v>
      </c>
      <c r="C4" s="8" t="s">
        <v>140</v>
      </c>
      <c r="D4" s="8" t="s">
        <v>428</v>
      </c>
    </row>
    <row r="5" spans="1:4" x14ac:dyDescent="0.25">
      <c r="A5" s="8" t="s">
        <v>12</v>
      </c>
      <c r="B5" s="65" t="s">
        <v>13</v>
      </c>
      <c r="C5" s="8" t="s">
        <v>140</v>
      </c>
      <c r="D5" s="8" t="s">
        <v>107</v>
      </c>
    </row>
    <row r="6" spans="1:4" x14ac:dyDescent="0.25">
      <c r="A6" s="8" t="s">
        <v>16</v>
      </c>
      <c r="B6" s="65" t="s">
        <v>17</v>
      </c>
      <c r="C6" s="8" t="s">
        <v>140</v>
      </c>
      <c r="D6" s="8" t="s">
        <v>107</v>
      </c>
    </row>
    <row r="7" spans="1:4" x14ac:dyDescent="0.25">
      <c r="A7" s="8" t="s">
        <v>30</v>
      </c>
      <c r="B7" s="65" t="s">
        <v>31</v>
      </c>
      <c r="C7" s="8" t="s">
        <v>140</v>
      </c>
      <c r="D7" s="8" t="s">
        <v>107</v>
      </c>
    </row>
    <row r="8" spans="1:4" x14ac:dyDescent="0.25">
      <c r="A8" s="8" t="s">
        <v>37</v>
      </c>
      <c r="B8" s="65" t="s">
        <v>38</v>
      </c>
      <c r="C8" s="8" t="s">
        <v>140</v>
      </c>
      <c r="D8" s="8" t="s">
        <v>107</v>
      </c>
    </row>
    <row r="9" spans="1:4" x14ac:dyDescent="0.25">
      <c r="A9" s="8" t="s">
        <v>45</v>
      </c>
      <c r="B9" s="65" t="s">
        <v>46</v>
      </c>
      <c r="C9" s="8" t="s">
        <v>140</v>
      </c>
      <c r="D9" s="8" t="s">
        <v>107</v>
      </c>
    </row>
    <row r="10" spans="1:4" x14ac:dyDescent="0.25">
      <c r="A10" s="8" t="s">
        <v>55</v>
      </c>
      <c r="B10" s="65" t="s">
        <v>17</v>
      </c>
      <c r="C10" s="8" t="s">
        <v>140</v>
      </c>
      <c r="D10" s="8" t="s">
        <v>107</v>
      </c>
    </row>
    <row r="11" spans="1:4" x14ac:dyDescent="0.25">
      <c r="A11" s="8" t="s">
        <v>59</v>
      </c>
      <c r="B11" s="65" t="s">
        <v>48</v>
      </c>
      <c r="C11" s="8" t="s">
        <v>140</v>
      </c>
      <c r="D11" s="8" t="s">
        <v>107</v>
      </c>
    </row>
    <row r="12" spans="1:4" x14ac:dyDescent="0.25">
      <c r="A12" s="8" t="s">
        <v>64</v>
      </c>
      <c r="B12" s="65" t="s">
        <v>17</v>
      </c>
      <c r="C12" s="8" t="s">
        <v>140</v>
      </c>
      <c r="D12" s="8" t="s">
        <v>107</v>
      </c>
    </row>
    <row r="13" spans="1:4" x14ac:dyDescent="0.25">
      <c r="A13" s="8" t="s">
        <v>65</v>
      </c>
      <c r="B13" s="65" t="s">
        <v>66</v>
      </c>
      <c r="C13" s="8" t="s">
        <v>140</v>
      </c>
      <c r="D13" s="8" t="s">
        <v>107</v>
      </c>
    </row>
    <row r="14" spans="1:4" x14ac:dyDescent="0.25">
      <c r="A14" s="8" t="s">
        <v>70</v>
      </c>
      <c r="B14" s="65" t="s">
        <v>38</v>
      </c>
      <c r="C14" s="8" t="s">
        <v>140</v>
      </c>
      <c r="D14" s="8" t="s">
        <v>107</v>
      </c>
    </row>
    <row r="15" spans="1:4" x14ac:dyDescent="0.25">
      <c r="A15" s="8" t="s">
        <v>42</v>
      </c>
      <c r="B15" s="65" t="s">
        <v>43</v>
      </c>
      <c r="C15" s="8" t="s">
        <v>145</v>
      </c>
      <c r="D15" s="8" t="s">
        <v>108</v>
      </c>
    </row>
    <row r="16" spans="1:4" x14ac:dyDescent="0.25">
      <c r="A16" s="8" t="s">
        <v>44</v>
      </c>
      <c r="B16" s="65" t="s">
        <v>43</v>
      </c>
      <c r="C16" s="8" t="s">
        <v>145</v>
      </c>
      <c r="D16" s="8" t="s">
        <v>108</v>
      </c>
    </row>
    <row r="17" spans="1:4" x14ac:dyDescent="0.25">
      <c r="A17" s="8" t="s">
        <v>49</v>
      </c>
      <c r="B17" s="65" t="s">
        <v>50</v>
      </c>
      <c r="C17" s="8" t="s">
        <v>145</v>
      </c>
      <c r="D17" s="8" t="s">
        <v>108</v>
      </c>
    </row>
    <row r="18" spans="1:4" x14ac:dyDescent="0.25">
      <c r="A18" s="8" t="s">
        <v>51</v>
      </c>
      <c r="B18" s="65" t="s">
        <v>52</v>
      </c>
      <c r="C18" s="8" t="s">
        <v>145</v>
      </c>
      <c r="D18" s="8" t="s">
        <v>108</v>
      </c>
    </row>
    <row r="19" spans="1:4" x14ac:dyDescent="0.25">
      <c r="A19" s="8" t="s">
        <v>56</v>
      </c>
      <c r="B19" s="65" t="s">
        <v>323</v>
      </c>
      <c r="C19" s="8" t="s">
        <v>145</v>
      </c>
      <c r="D19" s="8" t="s">
        <v>108</v>
      </c>
    </row>
    <row r="20" spans="1:4" x14ac:dyDescent="0.25">
      <c r="A20" s="8" t="s">
        <v>57</v>
      </c>
      <c r="B20" s="65" t="s">
        <v>323</v>
      </c>
      <c r="C20" s="8" t="s">
        <v>145</v>
      </c>
      <c r="D20" s="8" t="s">
        <v>108</v>
      </c>
    </row>
    <row r="21" spans="1:4" x14ac:dyDescent="0.25">
      <c r="A21" s="8" t="s">
        <v>58</v>
      </c>
      <c r="B21" s="65" t="s">
        <v>43</v>
      </c>
      <c r="C21" s="8" t="s">
        <v>145</v>
      </c>
      <c r="D21" s="8" t="s">
        <v>108</v>
      </c>
    </row>
    <row r="22" spans="1:4" x14ac:dyDescent="0.25">
      <c r="A22" s="8" t="s">
        <v>61</v>
      </c>
      <c r="B22" s="65" t="s">
        <v>62</v>
      </c>
      <c r="C22" s="8" t="s">
        <v>145</v>
      </c>
      <c r="D22" s="8" t="s">
        <v>108</v>
      </c>
    </row>
    <row r="23" spans="1:4" x14ac:dyDescent="0.25">
      <c r="A23" s="8" t="s">
        <v>63</v>
      </c>
      <c r="B23" s="65" t="s">
        <v>43</v>
      </c>
      <c r="C23" s="8" t="s">
        <v>145</v>
      </c>
      <c r="D23" s="8" t="s">
        <v>108</v>
      </c>
    </row>
    <row r="24" spans="1:4" x14ac:dyDescent="0.25">
      <c r="A24" s="8" t="s">
        <v>67</v>
      </c>
      <c r="B24" s="65" t="s">
        <v>138</v>
      </c>
      <c r="C24" s="8" t="s">
        <v>145</v>
      </c>
      <c r="D24" s="8" t="s">
        <v>108</v>
      </c>
    </row>
    <row r="25" spans="1:4" x14ac:dyDescent="0.25">
      <c r="A25" s="8" t="s">
        <v>68</v>
      </c>
      <c r="B25" s="65" t="s">
        <v>69</v>
      </c>
      <c r="C25" s="8" t="s">
        <v>145</v>
      </c>
      <c r="D25" s="8" t="s">
        <v>108</v>
      </c>
    </row>
    <row r="26" spans="1:4" x14ac:dyDescent="0.25">
      <c r="A26" s="8" t="s">
        <v>71</v>
      </c>
      <c r="B26" s="65" t="s">
        <v>72</v>
      </c>
      <c r="C26" s="8" t="s">
        <v>145</v>
      </c>
      <c r="D26" s="8" t="s">
        <v>108</v>
      </c>
    </row>
    <row r="27" spans="1:4" x14ac:dyDescent="0.25">
      <c r="A27" s="8" t="s">
        <v>73</v>
      </c>
      <c r="B27" s="65" t="s">
        <v>72</v>
      </c>
      <c r="C27" s="8" t="s">
        <v>145</v>
      </c>
      <c r="D27" s="8" t="s">
        <v>108</v>
      </c>
    </row>
    <row r="28" spans="1:4" x14ac:dyDescent="0.25">
      <c r="A28" s="8" t="s">
        <v>75</v>
      </c>
      <c r="B28" s="65" t="s">
        <v>43</v>
      </c>
      <c r="C28" s="8" t="s">
        <v>145</v>
      </c>
      <c r="D28" s="8" t="s">
        <v>108</v>
      </c>
    </row>
    <row r="29" spans="1:4" x14ac:dyDescent="0.25">
      <c r="A29" s="8" t="s">
        <v>76</v>
      </c>
      <c r="B29" s="65" t="s">
        <v>43</v>
      </c>
      <c r="C29" s="8" t="s">
        <v>145</v>
      </c>
      <c r="D29" s="8" t="s">
        <v>108</v>
      </c>
    </row>
    <row r="30" spans="1:4" x14ac:dyDescent="0.25">
      <c r="A30" s="8" t="s">
        <v>77</v>
      </c>
      <c r="B30" s="65" t="s">
        <v>43</v>
      </c>
      <c r="C30" s="8" t="s">
        <v>145</v>
      </c>
      <c r="D30" s="8" t="s">
        <v>108</v>
      </c>
    </row>
    <row r="31" spans="1:4" x14ac:dyDescent="0.25">
      <c r="A31" s="8" t="s">
        <v>6</v>
      </c>
      <c r="B31" s="65" t="s">
        <v>7</v>
      </c>
      <c r="C31" s="8" t="s">
        <v>141</v>
      </c>
      <c r="D31" s="8" t="s">
        <v>148</v>
      </c>
    </row>
    <row r="32" spans="1:4" x14ac:dyDescent="0.25">
      <c r="A32" s="8" t="s">
        <v>8</v>
      </c>
      <c r="B32" s="65" t="s">
        <v>9</v>
      </c>
      <c r="C32" s="8" t="s">
        <v>141</v>
      </c>
      <c r="D32" s="8" t="s">
        <v>150</v>
      </c>
    </row>
    <row r="33" spans="1:4" x14ac:dyDescent="0.25">
      <c r="A33" s="8" t="s">
        <v>10</v>
      </c>
      <c r="B33" s="65" t="s">
        <v>11</v>
      </c>
      <c r="C33" s="8" t="s">
        <v>141</v>
      </c>
      <c r="D33" s="8" t="s">
        <v>148</v>
      </c>
    </row>
    <row r="34" spans="1:4" x14ac:dyDescent="0.25">
      <c r="A34" s="8" t="s">
        <v>14</v>
      </c>
      <c r="B34" s="65" t="s">
        <v>15</v>
      </c>
      <c r="C34" s="8" t="s">
        <v>141</v>
      </c>
      <c r="D34" s="8" t="s">
        <v>148</v>
      </c>
    </row>
    <row r="35" spans="1:4" x14ac:dyDescent="0.25">
      <c r="A35" s="8" t="s">
        <v>18</v>
      </c>
      <c r="B35" s="65" t="s">
        <v>19</v>
      </c>
      <c r="C35" s="8" t="s">
        <v>141</v>
      </c>
      <c r="D35" s="8" t="s">
        <v>148</v>
      </c>
    </row>
    <row r="36" spans="1:4" x14ac:dyDescent="0.25">
      <c r="A36" s="8" t="s">
        <v>20</v>
      </c>
      <c r="B36" s="65" t="s">
        <v>21</v>
      </c>
      <c r="C36" s="8" t="s">
        <v>141</v>
      </c>
      <c r="D36" s="8" t="s">
        <v>148</v>
      </c>
    </row>
    <row r="37" spans="1:4" x14ac:dyDescent="0.25">
      <c r="A37" s="8" t="s">
        <v>22</v>
      </c>
      <c r="B37" s="65" t="s">
        <v>23</v>
      </c>
      <c r="C37" s="8" t="s">
        <v>141</v>
      </c>
      <c r="D37" s="8" t="s">
        <v>148</v>
      </c>
    </row>
    <row r="38" spans="1:4" x14ac:dyDescent="0.25">
      <c r="A38" s="8" t="s">
        <v>26</v>
      </c>
      <c r="B38" s="222" t="s">
        <v>27</v>
      </c>
      <c r="C38" s="8" t="s">
        <v>141</v>
      </c>
      <c r="D38" s="8" t="s">
        <v>148</v>
      </c>
    </row>
    <row r="39" spans="1:4" x14ac:dyDescent="0.25">
      <c r="A39" s="8" t="s">
        <v>28</v>
      </c>
      <c r="B39" s="222" t="s">
        <v>29</v>
      </c>
      <c r="C39" s="8" t="s">
        <v>141</v>
      </c>
      <c r="D39" s="8" t="s">
        <v>148</v>
      </c>
    </row>
    <row r="40" spans="1:4" ht="15.75" x14ac:dyDescent="0.25">
      <c r="A40" s="8" t="s">
        <v>39</v>
      </c>
      <c r="B40" s="223" t="s">
        <v>41</v>
      </c>
      <c r="C40" s="8" t="s">
        <v>141</v>
      </c>
      <c r="D40" s="8" t="s">
        <v>148</v>
      </c>
    </row>
    <row r="41" spans="1:4" ht="15.75" x14ac:dyDescent="0.25">
      <c r="A41" s="8" t="s">
        <v>40</v>
      </c>
      <c r="B41" s="223" t="s">
        <v>41</v>
      </c>
      <c r="C41" s="8" t="s">
        <v>141</v>
      </c>
      <c r="D41" s="8" t="s">
        <v>148</v>
      </c>
    </row>
    <row r="42" spans="1:4" x14ac:dyDescent="0.25">
      <c r="A42" s="8" t="s">
        <v>47</v>
      </c>
      <c r="B42" s="222" t="s">
        <v>48</v>
      </c>
      <c r="C42" s="8" t="s">
        <v>141</v>
      </c>
      <c r="D42" s="8" t="s">
        <v>148</v>
      </c>
    </row>
    <row r="43" spans="1:4" ht="15.75" x14ac:dyDescent="0.25">
      <c r="A43" s="8" t="s">
        <v>54</v>
      </c>
      <c r="B43" s="223" t="s">
        <v>41</v>
      </c>
      <c r="C43" s="8" t="s">
        <v>141</v>
      </c>
      <c r="D43" s="8" t="s">
        <v>148</v>
      </c>
    </row>
    <row r="44" spans="1:4" ht="15.75" x14ac:dyDescent="0.25">
      <c r="A44" s="8" t="s">
        <v>74</v>
      </c>
      <c r="B44" s="223" t="s">
        <v>41</v>
      </c>
      <c r="C44" s="8" t="s">
        <v>141</v>
      </c>
      <c r="D44" s="8" t="s">
        <v>148</v>
      </c>
    </row>
    <row r="45" spans="1:4" x14ac:dyDescent="0.25">
      <c r="A45" s="8" t="s">
        <v>32</v>
      </c>
      <c r="B45" s="65" t="s">
        <v>33</v>
      </c>
      <c r="C45" s="8" t="s">
        <v>143</v>
      </c>
      <c r="D45" s="8" t="s">
        <v>148</v>
      </c>
    </row>
    <row r="46" spans="1:4" x14ac:dyDescent="0.25">
      <c r="A46" s="8" t="s">
        <v>34</v>
      </c>
      <c r="B46" s="65" t="s">
        <v>35</v>
      </c>
      <c r="C46" s="8" t="s">
        <v>143</v>
      </c>
      <c r="D46" s="8" t="s">
        <v>148</v>
      </c>
    </row>
    <row r="47" spans="1:4" x14ac:dyDescent="0.25">
      <c r="A47" s="8" t="s">
        <v>36</v>
      </c>
      <c r="B47" s="65" t="s">
        <v>100</v>
      </c>
      <c r="C47" s="8" t="s">
        <v>144</v>
      </c>
      <c r="D47" s="8" t="s">
        <v>149</v>
      </c>
    </row>
    <row r="48" spans="1:4" x14ac:dyDescent="0.25">
      <c r="A48" s="8" t="s">
        <v>24</v>
      </c>
      <c r="B48" s="65" t="s">
        <v>25</v>
      </c>
      <c r="C48" s="8" t="s">
        <v>142</v>
      </c>
      <c r="D48" s="8" t="s">
        <v>150</v>
      </c>
    </row>
    <row r="49" spans="1:4" x14ac:dyDescent="0.25">
      <c r="A49" s="8" t="s">
        <v>53</v>
      </c>
      <c r="B49" s="65" t="s">
        <v>7</v>
      </c>
      <c r="C49" s="8" t="s">
        <v>151</v>
      </c>
      <c r="D49" s="8" t="s">
        <v>107</v>
      </c>
    </row>
    <row r="50" spans="1:4" x14ac:dyDescent="0.25">
      <c r="A50" s="8" t="s">
        <v>60</v>
      </c>
      <c r="B50" s="65" t="s">
        <v>146</v>
      </c>
      <c r="C50" s="8" t="s">
        <v>151</v>
      </c>
      <c r="D50" s="8" t="s">
        <v>107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C50">
    <sortCondition ref="C1:C50"/>
  </sortState>
  <dataValidations count="1">
    <dataValidation type="list" allowBlank="1" showInputMessage="1" showErrorMessage="1" sqref="A2:A3" xr:uid="{5B7DEB3E-CFC5-4FB9-A859-838677D5D8E3}">
      <formula1>$A$2:$A$51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604"/>
  <sheetViews>
    <sheetView rightToLeft="1" topLeftCell="A255" workbookViewId="0">
      <selection activeCell="B274" sqref="B274"/>
    </sheetView>
  </sheetViews>
  <sheetFormatPr defaultRowHeight="12.75" x14ac:dyDescent="0.2"/>
  <cols>
    <col min="1" max="1" width="26.5703125" style="40" customWidth="1"/>
    <col min="2" max="2" width="112.42578125" style="163" customWidth="1"/>
    <col min="3" max="3" width="10.28515625" style="41" bestFit="1" customWidth="1"/>
    <col min="4" max="16384" width="9.140625" style="7"/>
  </cols>
  <sheetData>
    <row r="1" spans="1:4" ht="19.5" customHeight="1" x14ac:dyDescent="0.25">
      <c r="A1" s="96" t="s">
        <v>1</v>
      </c>
      <c r="B1" s="178" t="s">
        <v>93</v>
      </c>
      <c r="C1" s="124" t="s">
        <v>78</v>
      </c>
    </row>
    <row r="2" spans="1:4" ht="15.75" x14ac:dyDescent="0.25">
      <c r="A2" s="97" t="s">
        <v>41</v>
      </c>
      <c r="B2" s="179" t="s">
        <v>219</v>
      </c>
      <c r="C2" s="125">
        <v>10</v>
      </c>
    </row>
    <row r="3" spans="1:4" ht="15.75" x14ac:dyDescent="0.25">
      <c r="A3" s="98" t="s">
        <v>41</v>
      </c>
      <c r="B3" s="180" t="s">
        <v>220</v>
      </c>
      <c r="C3" s="126">
        <v>6</v>
      </c>
    </row>
    <row r="4" spans="1:4" ht="15.75" x14ac:dyDescent="0.25">
      <c r="A4" s="97" t="s">
        <v>41</v>
      </c>
      <c r="B4" s="179" t="s">
        <v>221</v>
      </c>
      <c r="C4" s="125">
        <v>9</v>
      </c>
    </row>
    <row r="5" spans="1:4" ht="15.75" x14ac:dyDescent="0.25">
      <c r="A5" s="98" t="s">
        <v>41</v>
      </c>
      <c r="B5" s="180" t="s">
        <v>222</v>
      </c>
      <c r="C5" s="126">
        <v>9</v>
      </c>
    </row>
    <row r="6" spans="1:4" ht="15.75" x14ac:dyDescent="0.25">
      <c r="A6" s="97" t="s">
        <v>41</v>
      </c>
      <c r="B6" s="179" t="s">
        <v>223</v>
      </c>
      <c r="C6" s="125">
        <v>9</v>
      </c>
    </row>
    <row r="7" spans="1:4" ht="15.75" x14ac:dyDescent="0.25">
      <c r="A7" s="98" t="s">
        <v>41</v>
      </c>
      <c r="B7" s="180" t="s">
        <v>224</v>
      </c>
      <c r="C7" s="126">
        <v>9</v>
      </c>
    </row>
    <row r="8" spans="1:4" ht="15.75" x14ac:dyDescent="0.25">
      <c r="A8" s="97" t="s">
        <v>41</v>
      </c>
      <c r="B8" s="179" t="s">
        <v>225</v>
      </c>
      <c r="C8" s="125">
        <v>7</v>
      </c>
    </row>
    <row r="9" spans="1:4" ht="15.75" x14ac:dyDescent="0.25">
      <c r="A9" s="98" t="s">
        <v>41</v>
      </c>
      <c r="B9" s="180" t="s">
        <v>226</v>
      </c>
      <c r="C9" s="126">
        <v>7</v>
      </c>
    </row>
    <row r="10" spans="1:4" ht="15.75" x14ac:dyDescent="0.25">
      <c r="A10" s="97" t="s">
        <v>41</v>
      </c>
      <c r="B10" s="179" t="s">
        <v>227</v>
      </c>
      <c r="C10" s="125">
        <v>7</v>
      </c>
    </row>
    <row r="11" spans="1:4" ht="15.75" x14ac:dyDescent="0.25">
      <c r="A11" s="98" t="s">
        <v>41</v>
      </c>
      <c r="B11" s="180" t="s">
        <v>228</v>
      </c>
      <c r="C11" s="126">
        <v>7</v>
      </c>
      <c r="D11" s="7">
        <f>SUM(C2:C11)</f>
        <v>80</v>
      </c>
    </row>
    <row r="12" spans="1:4" ht="15.75" x14ac:dyDescent="0.2">
      <c r="A12" s="99" t="s">
        <v>100</v>
      </c>
      <c r="B12" s="181" t="s">
        <v>200</v>
      </c>
      <c r="C12" s="127">
        <v>10</v>
      </c>
    </row>
    <row r="13" spans="1:4" ht="15.75" x14ac:dyDescent="0.2">
      <c r="A13" s="99" t="s">
        <v>100</v>
      </c>
      <c r="B13" s="181" t="s">
        <v>201</v>
      </c>
      <c r="C13" s="127">
        <v>9</v>
      </c>
    </row>
    <row r="14" spans="1:4" ht="15.75" x14ac:dyDescent="0.2">
      <c r="A14" s="99" t="s">
        <v>100</v>
      </c>
      <c r="B14" s="181" t="s">
        <v>202</v>
      </c>
      <c r="C14" s="127">
        <v>9</v>
      </c>
    </row>
    <row r="15" spans="1:4" ht="15.75" x14ac:dyDescent="0.2">
      <c r="A15" s="99" t="s">
        <v>100</v>
      </c>
      <c r="B15" s="181" t="s">
        <v>203</v>
      </c>
      <c r="C15" s="127">
        <v>8</v>
      </c>
    </row>
    <row r="16" spans="1:4" ht="15.75" x14ac:dyDescent="0.2">
      <c r="A16" s="99" t="s">
        <v>100</v>
      </c>
      <c r="B16" s="181" t="s">
        <v>204</v>
      </c>
      <c r="C16" s="127">
        <v>8</v>
      </c>
    </row>
    <row r="17" spans="1:4" ht="15.75" x14ac:dyDescent="0.2">
      <c r="A17" s="99" t="s">
        <v>100</v>
      </c>
      <c r="B17" s="181" t="s">
        <v>205</v>
      </c>
      <c r="C17" s="127">
        <v>7</v>
      </c>
    </row>
    <row r="18" spans="1:4" ht="15.75" x14ac:dyDescent="0.2">
      <c r="A18" s="99" t="s">
        <v>100</v>
      </c>
      <c r="B18" s="181" t="s">
        <v>206</v>
      </c>
      <c r="C18" s="127">
        <v>8</v>
      </c>
    </row>
    <row r="19" spans="1:4" ht="15.75" x14ac:dyDescent="0.2">
      <c r="A19" s="99" t="s">
        <v>100</v>
      </c>
      <c r="B19" s="181" t="s">
        <v>207</v>
      </c>
      <c r="C19" s="127">
        <v>7</v>
      </c>
    </row>
    <row r="20" spans="1:4" ht="15.75" x14ac:dyDescent="0.2">
      <c r="A20" s="99" t="s">
        <v>100</v>
      </c>
      <c r="B20" s="181" t="s">
        <v>208</v>
      </c>
      <c r="C20" s="127">
        <v>7</v>
      </c>
    </row>
    <row r="21" spans="1:4" ht="15.75" x14ac:dyDescent="0.2">
      <c r="A21" s="99" t="s">
        <v>100</v>
      </c>
      <c r="B21" s="181" t="s">
        <v>209</v>
      </c>
      <c r="C21" s="127">
        <v>7</v>
      </c>
      <c r="D21" s="7">
        <f>SUM(C12:C21)</f>
        <v>80</v>
      </c>
    </row>
    <row r="22" spans="1:4" ht="15" customHeight="1" x14ac:dyDescent="0.25">
      <c r="A22" s="100" t="s">
        <v>3</v>
      </c>
      <c r="B22" s="182" t="s">
        <v>212</v>
      </c>
      <c r="C22" s="128">
        <v>10</v>
      </c>
    </row>
    <row r="23" spans="1:4" ht="15" customHeight="1" x14ac:dyDescent="0.25">
      <c r="A23" s="101" t="s">
        <v>3</v>
      </c>
      <c r="B23" s="183" t="s">
        <v>210</v>
      </c>
      <c r="C23" s="129">
        <v>10</v>
      </c>
    </row>
    <row r="24" spans="1:4" ht="15" customHeight="1" x14ac:dyDescent="0.25">
      <c r="A24" s="100" t="s">
        <v>3</v>
      </c>
      <c r="B24" s="182" t="s">
        <v>213</v>
      </c>
      <c r="C24" s="128">
        <v>10</v>
      </c>
    </row>
    <row r="25" spans="1:4" ht="15" customHeight="1" x14ac:dyDescent="0.25">
      <c r="A25" s="101" t="s">
        <v>3</v>
      </c>
      <c r="B25" s="183" t="s">
        <v>214</v>
      </c>
      <c r="C25" s="129">
        <v>10</v>
      </c>
    </row>
    <row r="26" spans="1:4" ht="15" customHeight="1" x14ac:dyDescent="0.25">
      <c r="A26" s="100" t="s">
        <v>3</v>
      </c>
      <c r="B26" s="182" t="s">
        <v>215</v>
      </c>
      <c r="C26" s="128">
        <v>10</v>
      </c>
    </row>
    <row r="27" spans="1:4" ht="15" customHeight="1" x14ac:dyDescent="0.25">
      <c r="A27" s="101" t="s">
        <v>3</v>
      </c>
      <c r="B27" s="184" t="s">
        <v>211</v>
      </c>
      <c r="C27" s="129">
        <v>7</v>
      </c>
    </row>
    <row r="28" spans="1:4" ht="15.75" x14ac:dyDescent="0.25">
      <c r="A28" s="100" t="s">
        <v>3</v>
      </c>
      <c r="B28" s="185" t="s">
        <v>195</v>
      </c>
      <c r="C28" s="128">
        <v>6</v>
      </c>
    </row>
    <row r="29" spans="1:4" ht="15.75" x14ac:dyDescent="0.25">
      <c r="A29" s="101" t="s">
        <v>3</v>
      </c>
      <c r="B29" s="184" t="s">
        <v>216</v>
      </c>
      <c r="C29" s="129">
        <v>6</v>
      </c>
    </row>
    <row r="30" spans="1:4" ht="15.75" x14ac:dyDescent="0.25">
      <c r="A30" s="100" t="s">
        <v>3</v>
      </c>
      <c r="B30" s="185" t="s">
        <v>217</v>
      </c>
      <c r="C30" s="128">
        <v>6</v>
      </c>
    </row>
    <row r="31" spans="1:4" ht="15.75" x14ac:dyDescent="0.25">
      <c r="A31" s="101" t="s">
        <v>3</v>
      </c>
      <c r="B31" s="184" t="s">
        <v>218</v>
      </c>
      <c r="C31" s="129">
        <v>5</v>
      </c>
      <c r="D31" s="7">
        <f>SUM(C22:C31)</f>
        <v>80</v>
      </c>
    </row>
    <row r="32" spans="1:4" ht="15.75" x14ac:dyDescent="0.25">
      <c r="A32" s="102" t="s">
        <v>7</v>
      </c>
      <c r="B32" s="186" t="s">
        <v>115</v>
      </c>
      <c r="C32" s="130">
        <v>10</v>
      </c>
    </row>
    <row r="33" spans="1:4" ht="15.75" x14ac:dyDescent="0.25">
      <c r="A33" s="103" t="s">
        <v>7</v>
      </c>
      <c r="B33" s="187" t="s">
        <v>116</v>
      </c>
      <c r="C33" s="131">
        <v>9</v>
      </c>
    </row>
    <row r="34" spans="1:4" ht="15.75" x14ac:dyDescent="0.25">
      <c r="A34" s="102" t="s">
        <v>7</v>
      </c>
      <c r="B34" s="186" t="s">
        <v>117</v>
      </c>
      <c r="C34" s="130">
        <v>9</v>
      </c>
    </row>
    <row r="35" spans="1:4" ht="15.75" x14ac:dyDescent="0.25">
      <c r="A35" s="103" t="s">
        <v>7</v>
      </c>
      <c r="B35" s="187" t="s">
        <v>118</v>
      </c>
      <c r="C35" s="131">
        <v>8</v>
      </c>
    </row>
    <row r="36" spans="1:4" ht="15.75" x14ac:dyDescent="0.25">
      <c r="A36" s="102" t="s">
        <v>7</v>
      </c>
      <c r="B36" s="186" t="s">
        <v>119</v>
      </c>
      <c r="C36" s="130">
        <v>8</v>
      </c>
    </row>
    <row r="37" spans="1:4" ht="15.75" x14ac:dyDescent="0.25">
      <c r="A37" s="103" t="s">
        <v>7</v>
      </c>
      <c r="B37" s="187" t="s">
        <v>120</v>
      </c>
      <c r="C37" s="131">
        <v>8</v>
      </c>
    </row>
    <row r="38" spans="1:4" ht="15.75" x14ac:dyDescent="0.25">
      <c r="A38" s="102" t="s">
        <v>7</v>
      </c>
      <c r="B38" s="186" t="s">
        <v>121</v>
      </c>
      <c r="C38" s="130">
        <v>8</v>
      </c>
    </row>
    <row r="39" spans="1:4" ht="15.75" x14ac:dyDescent="0.25">
      <c r="A39" s="103" t="s">
        <v>7</v>
      </c>
      <c r="B39" s="187" t="s">
        <v>122</v>
      </c>
      <c r="C39" s="131">
        <v>7</v>
      </c>
    </row>
    <row r="40" spans="1:4" ht="15.75" x14ac:dyDescent="0.25">
      <c r="A40" s="102" t="s">
        <v>7</v>
      </c>
      <c r="B40" s="186" t="s">
        <v>123</v>
      </c>
      <c r="C40" s="130">
        <v>7</v>
      </c>
    </row>
    <row r="41" spans="1:4" ht="15.75" x14ac:dyDescent="0.25">
      <c r="A41" s="103" t="s">
        <v>7</v>
      </c>
      <c r="B41" s="187" t="s">
        <v>124</v>
      </c>
      <c r="C41" s="131">
        <v>6</v>
      </c>
      <c r="D41" s="7">
        <f>SUM(C32:C41)</f>
        <v>80</v>
      </c>
    </row>
    <row r="42" spans="1:4" ht="15.75" x14ac:dyDescent="0.25">
      <c r="A42" s="104" t="s">
        <v>66</v>
      </c>
      <c r="B42" s="188" t="s">
        <v>294</v>
      </c>
      <c r="C42" s="132">
        <v>12</v>
      </c>
    </row>
    <row r="43" spans="1:4" ht="15.75" x14ac:dyDescent="0.25">
      <c r="A43" s="104" t="s">
        <v>66</v>
      </c>
      <c r="B43" s="188" t="s">
        <v>295</v>
      </c>
      <c r="C43" s="132">
        <v>10</v>
      </c>
    </row>
    <row r="44" spans="1:4" ht="15.75" x14ac:dyDescent="0.25">
      <c r="A44" s="104" t="s">
        <v>66</v>
      </c>
      <c r="B44" s="188" t="s">
        <v>296</v>
      </c>
      <c r="C44" s="132">
        <v>8</v>
      </c>
    </row>
    <row r="45" spans="1:4" ht="15.75" x14ac:dyDescent="0.25">
      <c r="A45" s="104" t="s">
        <v>66</v>
      </c>
      <c r="B45" s="188" t="s">
        <v>297</v>
      </c>
      <c r="C45" s="132">
        <v>8</v>
      </c>
    </row>
    <row r="46" spans="1:4" ht="15.75" x14ac:dyDescent="0.25">
      <c r="A46" s="104" t="s">
        <v>66</v>
      </c>
      <c r="B46" s="188" t="s">
        <v>298</v>
      </c>
      <c r="C46" s="132">
        <v>8</v>
      </c>
    </row>
    <row r="47" spans="1:4" ht="15.75" x14ac:dyDescent="0.25">
      <c r="A47" s="104" t="s">
        <v>66</v>
      </c>
      <c r="B47" s="188" t="s">
        <v>299</v>
      </c>
      <c r="C47" s="132">
        <v>6</v>
      </c>
    </row>
    <row r="48" spans="1:4" ht="15.75" x14ac:dyDescent="0.25">
      <c r="A48" s="104" t="s">
        <v>66</v>
      </c>
      <c r="B48" s="188" t="s">
        <v>300</v>
      </c>
      <c r="C48" s="132">
        <v>6</v>
      </c>
    </row>
    <row r="49" spans="1:4" ht="15.75" x14ac:dyDescent="0.25">
      <c r="A49" s="104" t="s">
        <v>66</v>
      </c>
      <c r="B49" s="188" t="s">
        <v>301</v>
      </c>
      <c r="C49" s="132">
        <v>8</v>
      </c>
    </row>
    <row r="50" spans="1:4" ht="15.75" x14ac:dyDescent="0.25">
      <c r="A50" s="104" t="s">
        <v>66</v>
      </c>
      <c r="B50" s="188" t="s">
        <v>302</v>
      </c>
      <c r="C50" s="132">
        <v>7</v>
      </c>
    </row>
    <row r="51" spans="1:4" ht="15.75" x14ac:dyDescent="0.25">
      <c r="A51" s="104" t="s">
        <v>66</v>
      </c>
      <c r="B51" s="188" t="s">
        <v>303</v>
      </c>
      <c r="C51" s="132">
        <v>7</v>
      </c>
      <c r="D51" s="7">
        <f>SUM(C42:C51)</f>
        <v>80</v>
      </c>
    </row>
    <row r="52" spans="1:4" ht="15.75" x14ac:dyDescent="0.25">
      <c r="A52" s="105" t="s">
        <v>35</v>
      </c>
      <c r="B52" s="189" t="s">
        <v>229</v>
      </c>
      <c r="C52" s="133">
        <v>11</v>
      </c>
    </row>
    <row r="53" spans="1:4" ht="15.75" x14ac:dyDescent="0.25">
      <c r="A53" s="106" t="s">
        <v>35</v>
      </c>
      <c r="B53" s="190" t="s">
        <v>230</v>
      </c>
      <c r="C53" s="134">
        <v>7</v>
      </c>
    </row>
    <row r="54" spans="1:4" ht="15.75" x14ac:dyDescent="0.25">
      <c r="A54" s="105" t="s">
        <v>35</v>
      </c>
      <c r="B54" s="189" t="s">
        <v>231</v>
      </c>
      <c r="C54" s="133">
        <v>8</v>
      </c>
    </row>
    <row r="55" spans="1:4" ht="15.75" x14ac:dyDescent="0.25">
      <c r="A55" s="106" t="s">
        <v>35</v>
      </c>
      <c r="B55" s="190" t="s">
        <v>232</v>
      </c>
      <c r="C55" s="134">
        <v>10</v>
      </c>
    </row>
    <row r="56" spans="1:4" ht="15.75" x14ac:dyDescent="0.25">
      <c r="A56" s="105" t="s">
        <v>35</v>
      </c>
      <c r="B56" s="189" t="s">
        <v>233</v>
      </c>
      <c r="C56" s="133">
        <v>10</v>
      </c>
    </row>
    <row r="57" spans="1:4" ht="15.75" x14ac:dyDescent="0.25">
      <c r="A57" s="106" t="s">
        <v>35</v>
      </c>
      <c r="B57" s="190" t="s">
        <v>234</v>
      </c>
      <c r="C57" s="134">
        <v>8</v>
      </c>
    </row>
    <row r="58" spans="1:4" ht="15.75" x14ac:dyDescent="0.25">
      <c r="A58" s="105" t="s">
        <v>35</v>
      </c>
      <c r="B58" s="189" t="s">
        <v>235</v>
      </c>
      <c r="C58" s="133">
        <v>7</v>
      </c>
    </row>
    <row r="59" spans="1:4" ht="15.75" x14ac:dyDescent="0.25">
      <c r="A59" s="106" t="s">
        <v>35</v>
      </c>
      <c r="B59" s="190" t="s">
        <v>236</v>
      </c>
      <c r="C59" s="134">
        <v>7</v>
      </c>
    </row>
    <row r="60" spans="1:4" ht="15.75" x14ac:dyDescent="0.25">
      <c r="A60" s="105" t="s">
        <v>35</v>
      </c>
      <c r="B60" s="189" t="s">
        <v>237</v>
      </c>
      <c r="C60" s="133">
        <v>6</v>
      </c>
    </row>
    <row r="61" spans="1:4" ht="15.75" x14ac:dyDescent="0.25">
      <c r="A61" s="106" t="s">
        <v>35</v>
      </c>
      <c r="B61" s="190" t="s">
        <v>238</v>
      </c>
      <c r="C61" s="134">
        <v>6</v>
      </c>
      <c r="D61" s="7">
        <f>SUM(C52:C61)</f>
        <v>80</v>
      </c>
    </row>
    <row r="62" spans="1:4" ht="15.75" x14ac:dyDescent="0.25">
      <c r="A62" s="107" t="s">
        <v>13</v>
      </c>
      <c r="B62" s="191" t="s">
        <v>239</v>
      </c>
      <c r="C62" s="135">
        <v>11</v>
      </c>
    </row>
    <row r="63" spans="1:4" ht="15.75" x14ac:dyDescent="0.25">
      <c r="A63" s="107" t="s">
        <v>13</v>
      </c>
      <c r="B63" s="191" t="s">
        <v>240</v>
      </c>
      <c r="C63" s="135">
        <v>11</v>
      </c>
    </row>
    <row r="64" spans="1:4" ht="15.75" x14ac:dyDescent="0.25">
      <c r="A64" s="107" t="s">
        <v>13</v>
      </c>
      <c r="B64" s="191" t="s">
        <v>241</v>
      </c>
      <c r="C64" s="135">
        <v>8</v>
      </c>
    </row>
    <row r="65" spans="1:4" ht="15.75" x14ac:dyDescent="0.25">
      <c r="A65" s="107" t="s">
        <v>13</v>
      </c>
      <c r="B65" s="191" t="s">
        <v>242</v>
      </c>
      <c r="C65" s="135">
        <v>8</v>
      </c>
    </row>
    <row r="66" spans="1:4" ht="15.75" x14ac:dyDescent="0.25">
      <c r="A66" s="107" t="s">
        <v>13</v>
      </c>
      <c r="B66" s="191" t="s">
        <v>243</v>
      </c>
      <c r="C66" s="135">
        <v>8</v>
      </c>
    </row>
    <row r="67" spans="1:4" ht="15.75" x14ac:dyDescent="0.25">
      <c r="A67" s="107" t="s">
        <v>13</v>
      </c>
      <c r="B67" s="191" t="s">
        <v>244</v>
      </c>
      <c r="C67" s="135">
        <v>7</v>
      </c>
    </row>
    <row r="68" spans="1:4" ht="15.75" x14ac:dyDescent="0.25">
      <c r="A68" s="107" t="s">
        <v>13</v>
      </c>
      <c r="B68" s="191" t="s">
        <v>245</v>
      </c>
      <c r="C68" s="135">
        <v>7</v>
      </c>
    </row>
    <row r="69" spans="1:4" ht="15.75" x14ac:dyDescent="0.25">
      <c r="A69" s="107" t="s">
        <v>13</v>
      </c>
      <c r="B69" s="191" t="s">
        <v>246</v>
      </c>
      <c r="C69" s="135">
        <v>7</v>
      </c>
    </row>
    <row r="70" spans="1:4" ht="15.75" x14ac:dyDescent="0.25">
      <c r="A70" s="107" t="s">
        <v>13</v>
      </c>
      <c r="B70" s="191" t="s">
        <v>125</v>
      </c>
      <c r="C70" s="135">
        <v>5</v>
      </c>
    </row>
    <row r="71" spans="1:4" ht="15.75" x14ac:dyDescent="0.25">
      <c r="A71" s="107" t="s">
        <v>13</v>
      </c>
      <c r="B71" s="191" t="s">
        <v>247</v>
      </c>
      <c r="C71" s="135">
        <v>8</v>
      </c>
      <c r="D71" s="7">
        <f>SUM(C62:C71)</f>
        <v>80</v>
      </c>
    </row>
    <row r="72" spans="1:4" ht="15.75" x14ac:dyDescent="0.25">
      <c r="A72" s="112" t="s">
        <v>15</v>
      </c>
      <c r="B72" s="192" t="s">
        <v>190</v>
      </c>
      <c r="C72" s="142">
        <v>11</v>
      </c>
    </row>
    <row r="73" spans="1:4" ht="15.75" x14ac:dyDescent="0.25">
      <c r="A73" s="112" t="s">
        <v>15</v>
      </c>
      <c r="B73" s="192" t="s">
        <v>191</v>
      </c>
      <c r="C73" s="143">
        <v>11</v>
      </c>
    </row>
    <row r="74" spans="1:4" ht="15.75" x14ac:dyDescent="0.25">
      <c r="A74" s="112" t="s">
        <v>15</v>
      </c>
      <c r="B74" s="192" t="s">
        <v>192</v>
      </c>
      <c r="C74" s="142">
        <v>8</v>
      </c>
    </row>
    <row r="75" spans="1:4" ht="15.75" x14ac:dyDescent="0.25">
      <c r="A75" s="112" t="s">
        <v>15</v>
      </c>
      <c r="B75" s="192" t="s">
        <v>193</v>
      </c>
      <c r="C75" s="143">
        <v>8</v>
      </c>
    </row>
    <row r="76" spans="1:4" ht="15.75" x14ac:dyDescent="0.25">
      <c r="A76" s="112" t="s">
        <v>15</v>
      </c>
      <c r="B76" s="192" t="s">
        <v>194</v>
      </c>
      <c r="C76" s="142">
        <v>8</v>
      </c>
    </row>
    <row r="77" spans="1:4" ht="15.75" x14ac:dyDescent="0.25">
      <c r="A77" s="112" t="s">
        <v>15</v>
      </c>
      <c r="B77" s="192" t="s">
        <v>195</v>
      </c>
      <c r="C77" s="143">
        <v>7</v>
      </c>
    </row>
    <row r="78" spans="1:4" ht="15.75" x14ac:dyDescent="0.25">
      <c r="A78" s="112" t="s">
        <v>15</v>
      </c>
      <c r="B78" s="192" t="s">
        <v>196</v>
      </c>
      <c r="C78" s="142">
        <v>7</v>
      </c>
    </row>
    <row r="79" spans="1:4" ht="15.75" x14ac:dyDescent="0.25">
      <c r="A79" s="112" t="s">
        <v>15</v>
      </c>
      <c r="B79" s="192" t="s">
        <v>197</v>
      </c>
      <c r="C79" s="143">
        <v>6</v>
      </c>
    </row>
    <row r="80" spans="1:4" ht="15.75" x14ac:dyDescent="0.25">
      <c r="A80" s="112" t="s">
        <v>15</v>
      </c>
      <c r="B80" s="192" t="s">
        <v>198</v>
      </c>
      <c r="C80" s="142">
        <v>7</v>
      </c>
    </row>
    <row r="81" spans="1:4" ht="15.75" x14ac:dyDescent="0.25">
      <c r="A81" s="112" t="s">
        <v>15</v>
      </c>
      <c r="B81" s="192" t="s">
        <v>199</v>
      </c>
      <c r="C81" s="143">
        <v>7</v>
      </c>
      <c r="D81" s="7">
        <f>SUM(C72:C81)</f>
        <v>80</v>
      </c>
    </row>
    <row r="82" spans="1:4" ht="15.75" x14ac:dyDescent="0.25">
      <c r="A82" s="108" t="s">
        <v>29</v>
      </c>
      <c r="B82" s="193" t="s">
        <v>180</v>
      </c>
      <c r="C82" s="136">
        <v>11</v>
      </c>
    </row>
    <row r="83" spans="1:4" ht="15.75" x14ac:dyDescent="0.25">
      <c r="A83" s="108" t="s">
        <v>29</v>
      </c>
      <c r="B83" s="194" t="s">
        <v>181</v>
      </c>
      <c r="C83" s="137">
        <v>11</v>
      </c>
    </row>
    <row r="84" spans="1:4" ht="15.75" x14ac:dyDescent="0.25">
      <c r="A84" s="108" t="s">
        <v>29</v>
      </c>
      <c r="B84" s="193" t="s">
        <v>182</v>
      </c>
      <c r="C84" s="138">
        <v>11</v>
      </c>
    </row>
    <row r="85" spans="1:4" ht="15.75" x14ac:dyDescent="0.25">
      <c r="A85" s="108" t="s">
        <v>29</v>
      </c>
      <c r="B85" s="194" t="s">
        <v>183</v>
      </c>
      <c r="C85" s="137">
        <v>9</v>
      </c>
    </row>
    <row r="86" spans="1:4" ht="15.75" x14ac:dyDescent="0.25">
      <c r="A86" s="108" t="s">
        <v>29</v>
      </c>
      <c r="B86" s="193" t="s">
        <v>184</v>
      </c>
      <c r="C86" s="138">
        <v>7</v>
      </c>
    </row>
    <row r="87" spans="1:4" ht="15.75" x14ac:dyDescent="0.25">
      <c r="A87" s="108" t="s">
        <v>29</v>
      </c>
      <c r="B87" s="194" t="s">
        <v>185</v>
      </c>
      <c r="C87" s="137">
        <v>8</v>
      </c>
    </row>
    <row r="88" spans="1:4" ht="15.75" x14ac:dyDescent="0.25">
      <c r="A88" s="108" t="s">
        <v>29</v>
      </c>
      <c r="B88" s="193" t="s">
        <v>186</v>
      </c>
      <c r="C88" s="138">
        <v>7</v>
      </c>
    </row>
    <row r="89" spans="1:4" ht="15.75" x14ac:dyDescent="0.25">
      <c r="A89" s="108" t="s">
        <v>29</v>
      </c>
      <c r="B89" s="194" t="s">
        <v>187</v>
      </c>
      <c r="C89" s="137">
        <v>5</v>
      </c>
    </row>
    <row r="90" spans="1:4" ht="15.75" x14ac:dyDescent="0.25">
      <c r="A90" s="108" t="s">
        <v>29</v>
      </c>
      <c r="B90" s="193" t="s">
        <v>188</v>
      </c>
      <c r="C90" s="138">
        <v>5</v>
      </c>
    </row>
    <row r="91" spans="1:4" ht="15.75" x14ac:dyDescent="0.25">
      <c r="A91" s="108" t="s">
        <v>29</v>
      </c>
      <c r="B91" s="194" t="s">
        <v>189</v>
      </c>
      <c r="C91" s="137">
        <v>6</v>
      </c>
      <c r="D91" s="7">
        <f>SUM(C82:C91)</f>
        <v>80</v>
      </c>
    </row>
    <row r="92" spans="1:4" ht="15.75" x14ac:dyDescent="0.25">
      <c r="A92" s="109" t="s">
        <v>43</v>
      </c>
      <c r="B92" s="195" t="s">
        <v>178</v>
      </c>
      <c r="C92" s="139">
        <v>11</v>
      </c>
    </row>
    <row r="93" spans="1:4" ht="15.75" x14ac:dyDescent="0.25">
      <c r="A93" s="109" t="s">
        <v>43</v>
      </c>
      <c r="B93" s="195" t="s">
        <v>176</v>
      </c>
      <c r="C93" s="139">
        <v>9</v>
      </c>
    </row>
    <row r="94" spans="1:4" ht="15.75" x14ac:dyDescent="0.25">
      <c r="A94" s="109" t="s">
        <v>43</v>
      </c>
      <c r="B94" s="195" t="s">
        <v>179</v>
      </c>
      <c r="C94" s="139">
        <v>8</v>
      </c>
    </row>
    <row r="95" spans="1:4" ht="15.75" x14ac:dyDescent="0.25">
      <c r="A95" s="109" t="s">
        <v>43</v>
      </c>
      <c r="B95" s="195" t="s">
        <v>177</v>
      </c>
      <c r="C95" s="139">
        <v>8</v>
      </c>
    </row>
    <row r="96" spans="1:4" ht="15.75" x14ac:dyDescent="0.25">
      <c r="A96" s="109" t="s">
        <v>43</v>
      </c>
      <c r="B96" s="195" t="s">
        <v>126</v>
      </c>
      <c r="C96" s="139">
        <v>8</v>
      </c>
    </row>
    <row r="97" spans="1:4" ht="15.75" x14ac:dyDescent="0.25">
      <c r="A97" s="109" t="s">
        <v>43</v>
      </c>
      <c r="B97" s="195" t="s">
        <v>175</v>
      </c>
      <c r="C97" s="139">
        <v>10</v>
      </c>
    </row>
    <row r="98" spans="1:4" ht="15.75" x14ac:dyDescent="0.25">
      <c r="A98" s="109" t="s">
        <v>43</v>
      </c>
      <c r="B98" s="195" t="s">
        <v>127</v>
      </c>
      <c r="C98" s="139">
        <v>6</v>
      </c>
    </row>
    <row r="99" spans="1:4" ht="15.75" x14ac:dyDescent="0.25">
      <c r="A99" s="109" t="s">
        <v>43</v>
      </c>
      <c r="B99" s="195" t="s">
        <v>128</v>
      </c>
      <c r="C99" s="139">
        <v>6</v>
      </c>
    </row>
    <row r="100" spans="1:4" ht="15.75" x14ac:dyDescent="0.25">
      <c r="A100" s="109" t="s">
        <v>43</v>
      </c>
      <c r="B100" s="195" t="s">
        <v>129</v>
      </c>
      <c r="C100" s="139">
        <v>6</v>
      </c>
    </row>
    <row r="101" spans="1:4" ht="15.75" x14ac:dyDescent="0.25">
      <c r="A101" s="109" t="s">
        <v>43</v>
      </c>
      <c r="B101" s="195" t="s">
        <v>130</v>
      </c>
      <c r="C101" s="139">
        <v>8</v>
      </c>
      <c r="D101" s="7">
        <f>SUM(C92:C101)</f>
        <v>80</v>
      </c>
    </row>
    <row r="102" spans="1:4" ht="15.75" x14ac:dyDescent="0.25">
      <c r="A102" s="110" t="s">
        <v>38</v>
      </c>
      <c r="B102" s="196" t="s">
        <v>131</v>
      </c>
      <c r="C102" s="140">
        <v>11</v>
      </c>
    </row>
    <row r="103" spans="1:4" ht="15.75" x14ac:dyDescent="0.25">
      <c r="A103" s="110" t="s">
        <v>38</v>
      </c>
      <c r="B103" s="196" t="s">
        <v>132</v>
      </c>
      <c r="C103" s="140">
        <v>7</v>
      </c>
    </row>
    <row r="104" spans="1:4" ht="15.75" x14ac:dyDescent="0.25">
      <c r="A104" s="110" t="s">
        <v>38</v>
      </c>
      <c r="B104" s="196" t="s">
        <v>133</v>
      </c>
      <c r="C104" s="140">
        <v>7</v>
      </c>
    </row>
    <row r="105" spans="1:4" ht="15.75" x14ac:dyDescent="0.25">
      <c r="A105" s="110" t="s">
        <v>38</v>
      </c>
      <c r="B105" s="196" t="s">
        <v>134</v>
      </c>
      <c r="C105" s="140">
        <v>7</v>
      </c>
    </row>
    <row r="106" spans="1:4" ht="15.75" x14ac:dyDescent="0.25">
      <c r="A106" s="110" t="s">
        <v>38</v>
      </c>
      <c r="B106" s="196" t="s">
        <v>135</v>
      </c>
      <c r="C106" s="140">
        <v>11</v>
      </c>
    </row>
    <row r="107" spans="1:4" ht="15.75" x14ac:dyDescent="0.25">
      <c r="A107" s="110" t="s">
        <v>38</v>
      </c>
      <c r="B107" s="196" t="s">
        <v>136</v>
      </c>
      <c r="C107" s="140">
        <v>7</v>
      </c>
    </row>
    <row r="108" spans="1:4" ht="15.75" x14ac:dyDescent="0.25">
      <c r="A108" s="110" t="s">
        <v>38</v>
      </c>
      <c r="B108" s="196" t="s">
        <v>340</v>
      </c>
      <c r="C108" s="140">
        <v>8</v>
      </c>
    </row>
    <row r="109" spans="1:4" ht="15.75" x14ac:dyDescent="0.25">
      <c r="A109" s="110" t="s">
        <v>38</v>
      </c>
      <c r="B109" s="196" t="s">
        <v>339</v>
      </c>
      <c r="C109" s="140">
        <v>8</v>
      </c>
    </row>
    <row r="110" spans="1:4" ht="15.75" x14ac:dyDescent="0.25">
      <c r="A110" s="110" t="s">
        <v>38</v>
      </c>
      <c r="B110" s="196" t="s">
        <v>137</v>
      </c>
      <c r="C110" s="140">
        <v>7</v>
      </c>
    </row>
    <row r="111" spans="1:4" ht="15.75" x14ac:dyDescent="0.25">
      <c r="A111" s="110" t="s">
        <v>38</v>
      </c>
      <c r="B111" s="196" t="s">
        <v>174</v>
      </c>
      <c r="C111" s="140">
        <v>7</v>
      </c>
      <c r="D111" s="7">
        <f>SUM(C102:C111)</f>
        <v>80</v>
      </c>
    </row>
    <row r="112" spans="1:4" ht="15.75" x14ac:dyDescent="0.25">
      <c r="A112" s="111" t="s">
        <v>146</v>
      </c>
      <c r="B112" s="197" t="s">
        <v>164</v>
      </c>
      <c r="C112" s="141">
        <v>10</v>
      </c>
    </row>
    <row r="113" spans="1:4" ht="15.75" x14ac:dyDescent="0.25">
      <c r="A113" s="111" t="s">
        <v>146</v>
      </c>
      <c r="B113" s="198" t="s">
        <v>165</v>
      </c>
      <c r="C113" s="141">
        <v>10</v>
      </c>
    </row>
    <row r="114" spans="1:4" ht="15.75" x14ac:dyDescent="0.25">
      <c r="A114" s="111" t="s">
        <v>146</v>
      </c>
      <c r="B114" s="197" t="s">
        <v>166</v>
      </c>
      <c r="C114" s="141">
        <v>8</v>
      </c>
    </row>
    <row r="115" spans="1:4" ht="15.75" x14ac:dyDescent="0.25">
      <c r="A115" s="111" t="s">
        <v>146</v>
      </c>
      <c r="B115" s="198" t="s">
        <v>167</v>
      </c>
      <c r="C115" s="141">
        <v>8</v>
      </c>
    </row>
    <row r="116" spans="1:4" ht="15.75" x14ac:dyDescent="0.25">
      <c r="A116" s="111" t="s">
        <v>146</v>
      </c>
      <c r="B116" s="197" t="s">
        <v>168</v>
      </c>
      <c r="C116" s="141">
        <v>8</v>
      </c>
    </row>
    <row r="117" spans="1:4" ht="15.75" x14ac:dyDescent="0.25">
      <c r="A117" s="111" t="s">
        <v>146</v>
      </c>
      <c r="B117" s="198" t="s">
        <v>169</v>
      </c>
      <c r="C117" s="141">
        <v>7</v>
      </c>
    </row>
    <row r="118" spans="1:4" ht="15.75" x14ac:dyDescent="0.25">
      <c r="A118" s="111" t="s">
        <v>146</v>
      </c>
      <c r="B118" s="197" t="s">
        <v>170</v>
      </c>
      <c r="C118" s="141">
        <v>8</v>
      </c>
    </row>
    <row r="119" spans="1:4" ht="15.75" x14ac:dyDescent="0.25">
      <c r="A119" s="111" t="s">
        <v>146</v>
      </c>
      <c r="B119" s="198" t="s">
        <v>171</v>
      </c>
      <c r="C119" s="141">
        <v>7</v>
      </c>
    </row>
    <row r="120" spans="1:4" ht="15.75" x14ac:dyDescent="0.25">
      <c r="A120" s="111" t="s">
        <v>146</v>
      </c>
      <c r="B120" s="197" t="s">
        <v>173</v>
      </c>
      <c r="C120" s="141">
        <v>7</v>
      </c>
    </row>
    <row r="121" spans="1:4" ht="15.75" x14ac:dyDescent="0.25">
      <c r="A121" s="111" t="s">
        <v>146</v>
      </c>
      <c r="B121" s="198" t="s">
        <v>172</v>
      </c>
      <c r="C121" s="141">
        <v>7</v>
      </c>
      <c r="D121" s="7">
        <f>SUM(C112:C121)</f>
        <v>80</v>
      </c>
    </row>
    <row r="122" spans="1:4" ht="15.75" x14ac:dyDescent="0.25">
      <c r="A122" s="112" t="s">
        <v>62</v>
      </c>
      <c r="B122" s="199" t="s">
        <v>248</v>
      </c>
      <c r="C122" s="142">
        <v>11</v>
      </c>
    </row>
    <row r="123" spans="1:4" ht="15.75" x14ac:dyDescent="0.25">
      <c r="A123" s="112" t="s">
        <v>62</v>
      </c>
      <c r="B123" s="199" t="s">
        <v>249</v>
      </c>
      <c r="C123" s="143">
        <v>10</v>
      </c>
    </row>
    <row r="124" spans="1:4" ht="15.75" x14ac:dyDescent="0.25">
      <c r="A124" s="112" t="s">
        <v>62</v>
      </c>
      <c r="B124" s="199" t="s">
        <v>250</v>
      </c>
      <c r="C124" s="142">
        <v>8</v>
      </c>
    </row>
    <row r="125" spans="1:4" ht="15.75" x14ac:dyDescent="0.25">
      <c r="A125" s="112" t="s">
        <v>62</v>
      </c>
      <c r="B125" s="199" t="s">
        <v>251</v>
      </c>
      <c r="C125" s="143">
        <v>8</v>
      </c>
    </row>
    <row r="126" spans="1:4" ht="15.75" x14ac:dyDescent="0.25">
      <c r="A126" s="112" t="s">
        <v>62</v>
      </c>
      <c r="B126" s="199" t="s">
        <v>252</v>
      </c>
      <c r="C126" s="142">
        <v>8</v>
      </c>
    </row>
    <row r="127" spans="1:4" ht="15.75" x14ac:dyDescent="0.25">
      <c r="A127" s="112" t="s">
        <v>62</v>
      </c>
      <c r="B127" s="199" t="s">
        <v>253</v>
      </c>
      <c r="C127" s="143">
        <v>8</v>
      </c>
    </row>
    <row r="128" spans="1:4" ht="15.75" x14ac:dyDescent="0.25">
      <c r="A128" s="112" t="s">
        <v>62</v>
      </c>
      <c r="B128" s="199" t="s">
        <v>254</v>
      </c>
      <c r="C128" s="142">
        <v>7</v>
      </c>
    </row>
    <row r="129" spans="1:4" ht="15.75" x14ac:dyDescent="0.25">
      <c r="A129" s="112" t="s">
        <v>62</v>
      </c>
      <c r="B129" s="199" t="s">
        <v>255</v>
      </c>
      <c r="C129" s="143">
        <v>6</v>
      </c>
    </row>
    <row r="130" spans="1:4" ht="15.75" x14ac:dyDescent="0.25">
      <c r="A130" s="112" t="s">
        <v>62</v>
      </c>
      <c r="B130" s="199" t="s">
        <v>256</v>
      </c>
      <c r="C130" s="142">
        <v>7</v>
      </c>
    </row>
    <row r="131" spans="1:4" ht="15.75" x14ac:dyDescent="0.25">
      <c r="A131" s="112" t="s">
        <v>62</v>
      </c>
      <c r="B131" s="199" t="s">
        <v>257</v>
      </c>
      <c r="C131" s="143">
        <v>7</v>
      </c>
      <c r="D131" s="7">
        <f>SUM(C122:C131)</f>
        <v>80</v>
      </c>
    </row>
    <row r="132" spans="1:4" ht="15.75" x14ac:dyDescent="0.25">
      <c r="A132" s="113" t="s">
        <v>138</v>
      </c>
      <c r="B132" s="200" t="s">
        <v>258</v>
      </c>
      <c r="C132" s="144">
        <v>10</v>
      </c>
    </row>
    <row r="133" spans="1:4" ht="15.75" x14ac:dyDescent="0.25">
      <c r="A133" s="113" t="s">
        <v>138</v>
      </c>
      <c r="B133" s="200" t="s">
        <v>259</v>
      </c>
      <c r="C133" s="145">
        <v>9</v>
      </c>
    </row>
    <row r="134" spans="1:4" ht="15.75" x14ac:dyDescent="0.25">
      <c r="A134" s="113" t="s">
        <v>138</v>
      </c>
      <c r="B134" s="200" t="s">
        <v>260</v>
      </c>
      <c r="C134" s="144">
        <v>9</v>
      </c>
    </row>
    <row r="135" spans="1:4" ht="15.75" x14ac:dyDescent="0.25">
      <c r="A135" s="113" t="s">
        <v>138</v>
      </c>
      <c r="B135" s="200" t="s">
        <v>261</v>
      </c>
      <c r="C135" s="145">
        <v>9</v>
      </c>
    </row>
    <row r="136" spans="1:4" ht="15.75" x14ac:dyDescent="0.25">
      <c r="A136" s="113" t="s">
        <v>138</v>
      </c>
      <c r="B136" s="200" t="s">
        <v>262</v>
      </c>
      <c r="C136" s="144">
        <v>7</v>
      </c>
    </row>
    <row r="137" spans="1:4" ht="15.75" x14ac:dyDescent="0.25">
      <c r="A137" s="113" t="s">
        <v>138</v>
      </c>
      <c r="B137" s="200" t="s">
        <v>263</v>
      </c>
      <c r="C137" s="145">
        <v>8</v>
      </c>
    </row>
    <row r="138" spans="1:4" ht="15.75" x14ac:dyDescent="0.25">
      <c r="A138" s="113" t="s">
        <v>138</v>
      </c>
      <c r="B138" s="200" t="s">
        <v>264</v>
      </c>
      <c r="C138" s="144">
        <v>8</v>
      </c>
    </row>
    <row r="139" spans="1:4" ht="15.75" x14ac:dyDescent="0.25">
      <c r="A139" s="113" t="s">
        <v>138</v>
      </c>
      <c r="B139" s="201" t="s">
        <v>265</v>
      </c>
      <c r="C139" s="145">
        <v>6</v>
      </c>
    </row>
    <row r="140" spans="1:4" ht="15.75" x14ac:dyDescent="0.25">
      <c r="A140" s="113" t="s">
        <v>138</v>
      </c>
      <c r="B140" s="200" t="s">
        <v>266</v>
      </c>
      <c r="C140" s="144">
        <v>8</v>
      </c>
    </row>
    <row r="141" spans="1:4" ht="15.75" x14ac:dyDescent="0.25">
      <c r="A141" s="113" t="s">
        <v>138</v>
      </c>
      <c r="B141" s="201" t="s">
        <v>267</v>
      </c>
      <c r="C141" s="145">
        <v>6</v>
      </c>
      <c r="D141" s="7">
        <f>SUM(C132:C141)</f>
        <v>80</v>
      </c>
    </row>
    <row r="142" spans="1:4" ht="15.75" x14ac:dyDescent="0.25">
      <c r="A142" s="114" t="s">
        <v>72</v>
      </c>
      <c r="B142" s="202" t="s">
        <v>268</v>
      </c>
      <c r="C142" s="146">
        <v>11</v>
      </c>
    </row>
    <row r="143" spans="1:4" ht="15.75" x14ac:dyDescent="0.25">
      <c r="A143" s="114" t="s">
        <v>72</v>
      </c>
      <c r="B143" s="202" t="s">
        <v>269</v>
      </c>
      <c r="C143" s="147">
        <v>10</v>
      </c>
    </row>
    <row r="144" spans="1:4" ht="15.75" x14ac:dyDescent="0.25">
      <c r="A144" s="114" t="s">
        <v>72</v>
      </c>
      <c r="B144" s="202" t="s">
        <v>270</v>
      </c>
      <c r="C144" s="146">
        <v>8</v>
      </c>
    </row>
    <row r="145" spans="1:4" ht="15.75" x14ac:dyDescent="0.25">
      <c r="A145" s="114" t="s">
        <v>72</v>
      </c>
      <c r="B145" s="202" t="s">
        <v>271</v>
      </c>
      <c r="C145" s="147">
        <v>10</v>
      </c>
    </row>
    <row r="146" spans="1:4" ht="15.75" x14ac:dyDescent="0.25">
      <c r="A146" s="114" t="s">
        <v>72</v>
      </c>
      <c r="B146" s="202" t="s">
        <v>272</v>
      </c>
      <c r="C146" s="146">
        <v>8</v>
      </c>
    </row>
    <row r="147" spans="1:4" ht="15.75" x14ac:dyDescent="0.25">
      <c r="A147" s="114" t="s">
        <v>72</v>
      </c>
      <c r="B147" s="202" t="s">
        <v>273</v>
      </c>
      <c r="C147" s="147">
        <v>8</v>
      </c>
    </row>
    <row r="148" spans="1:4" ht="15.75" x14ac:dyDescent="0.25">
      <c r="A148" s="114" t="s">
        <v>72</v>
      </c>
      <c r="B148" s="202" t="s">
        <v>274</v>
      </c>
      <c r="C148" s="146">
        <v>7</v>
      </c>
    </row>
    <row r="149" spans="1:4" ht="15.75" x14ac:dyDescent="0.25">
      <c r="A149" s="114" t="s">
        <v>72</v>
      </c>
      <c r="B149" s="202" t="s">
        <v>275</v>
      </c>
      <c r="C149" s="147">
        <v>6</v>
      </c>
    </row>
    <row r="150" spans="1:4" ht="15.75" x14ac:dyDescent="0.25">
      <c r="A150" s="114" t="s">
        <v>72</v>
      </c>
      <c r="B150" s="202" t="s">
        <v>276</v>
      </c>
      <c r="C150" s="146">
        <v>6</v>
      </c>
    </row>
    <row r="151" spans="1:4" ht="15.75" x14ac:dyDescent="0.25">
      <c r="A151" s="114" t="s">
        <v>72</v>
      </c>
      <c r="B151" s="202" t="s">
        <v>277</v>
      </c>
      <c r="C151" s="147">
        <v>6</v>
      </c>
      <c r="D151" s="7">
        <f>SUM(C142:C151)</f>
        <v>80</v>
      </c>
    </row>
    <row r="152" spans="1:4" ht="15.75" x14ac:dyDescent="0.25">
      <c r="A152" s="115" t="s">
        <v>69</v>
      </c>
      <c r="B152" s="203" t="s">
        <v>278</v>
      </c>
      <c r="C152" s="148">
        <v>11</v>
      </c>
    </row>
    <row r="153" spans="1:4" ht="15.75" x14ac:dyDescent="0.25">
      <c r="A153" s="115" t="s">
        <v>69</v>
      </c>
      <c r="B153" s="203" t="s">
        <v>279</v>
      </c>
      <c r="C153" s="149">
        <v>11</v>
      </c>
    </row>
    <row r="154" spans="1:4" ht="15.75" x14ac:dyDescent="0.25">
      <c r="A154" s="115" t="s">
        <v>69</v>
      </c>
      <c r="B154" s="203" t="s">
        <v>280</v>
      </c>
      <c r="C154" s="148">
        <v>8</v>
      </c>
    </row>
    <row r="155" spans="1:4" ht="15.75" x14ac:dyDescent="0.25">
      <c r="A155" s="115" t="s">
        <v>69</v>
      </c>
      <c r="B155" s="203" t="s">
        <v>281</v>
      </c>
      <c r="C155" s="149">
        <v>7</v>
      </c>
    </row>
    <row r="156" spans="1:4" ht="15.75" x14ac:dyDescent="0.25">
      <c r="A156" s="115" t="s">
        <v>69</v>
      </c>
      <c r="B156" s="203" t="s">
        <v>282</v>
      </c>
      <c r="C156" s="148">
        <v>7</v>
      </c>
    </row>
    <row r="157" spans="1:4" ht="15.75" x14ac:dyDescent="0.25">
      <c r="A157" s="115" t="s">
        <v>69</v>
      </c>
      <c r="B157" s="203" t="s">
        <v>283</v>
      </c>
      <c r="C157" s="149">
        <v>8</v>
      </c>
    </row>
    <row r="158" spans="1:4" ht="15.75" x14ac:dyDescent="0.25">
      <c r="A158" s="115" t="s">
        <v>69</v>
      </c>
      <c r="B158" s="203" t="s">
        <v>284</v>
      </c>
      <c r="C158" s="148">
        <v>8</v>
      </c>
    </row>
    <row r="159" spans="1:4" ht="15.75" x14ac:dyDescent="0.25">
      <c r="A159" s="115" t="s">
        <v>69</v>
      </c>
      <c r="B159" s="203" t="s">
        <v>285</v>
      </c>
      <c r="C159" s="149">
        <v>7</v>
      </c>
    </row>
    <row r="160" spans="1:4" ht="15.75" x14ac:dyDescent="0.25">
      <c r="A160" s="115" t="s">
        <v>69</v>
      </c>
      <c r="B160" s="203" t="s">
        <v>286</v>
      </c>
      <c r="C160" s="148">
        <v>7</v>
      </c>
    </row>
    <row r="161" spans="1:4" ht="15.75" x14ac:dyDescent="0.25">
      <c r="A161" s="115" t="s">
        <v>69</v>
      </c>
      <c r="B161" s="204" t="s">
        <v>287</v>
      </c>
      <c r="C161" s="149">
        <v>6</v>
      </c>
      <c r="D161" s="7">
        <f>SUM(C152:C161)</f>
        <v>80</v>
      </c>
    </row>
    <row r="162" spans="1:4" ht="15.75" x14ac:dyDescent="0.25">
      <c r="A162" s="116" t="s">
        <v>50</v>
      </c>
      <c r="B162" s="205" t="s">
        <v>413</v>
      </c>
      <c r="C162" s="150">
        <v>8</v>
      </c>
    </row>
    <row r="163" spans="1:4" ht="15.75" x14ac:dyDescent="0.25">
      <c r="A163" s="116" t="s">
        <v>50</v>
      </c>
      <c r="B163" s="205" t="s">
        <v>288</v>
      </c>
      <c r="C163" s="151">
        <v>9</v>
      </c>
    </row>
    <row r="164" spans="1:4" ht="15.75" x14ac:dyDescent="0.25">
      <c r="A164" s="116" t="s">
        <v>50</v>
      </c>
      <c r="B164" s="205" t="s">
        <v>414</v>
      </c>
      <c r="C164" s="150">
        <v>9</v>
      </c>
    </row>
    <row r="165" spans="1:4" ht="15.75" x14ac:dyDescent="0.25">
      <c r="A165" s="116" t="s">
        <v>50</v>
      </c>
      <c r="B165" s="205" t="s">
        <v>289</v>
      </c>
      <c r="C165" s="151">
        <v>7</v>
      </c>
    </row>
    <row r="166" spans="1:4" ht="15.75" x14ac:dyDescent="0.25">
      <c r="A166" s="116" t="s">
        <v>50</v>
      </c>
      <c r="B166" s="205" t="s">
        <v>290</v>
      </c>
      <c r="C166" s="150">
        <v>7</v>
      </c>
    </row>
    <row r="167" spans="1:4" ht="15.75" x14ac:dyDescent="0.25">
      <c r="A167" s="116" t="s">
        <v>50</v>
      </c>
      <c r="B167" s="205" t="s">
        <v>281</v>
      </c>
      <c r="C167" s="151">
        <v>9</v>
      </c>
    </row>
    <row r="168" spans="1:4" ht="15.75" x14ac:dyDescent="0.25">
      <c r="A168" s="116" t="s">
        <v>50</v>
      </c>
      <c r="B168" s="205" t="s">
        <v>282</v>
      </c>
      <c r="C168" s="150">
        <v>7</v>
      </c>
    </row>
    <row r="169" spans="1:4" ht="15.75" x14ac:dyDescent="0.25">
      <c r="A169" s="116" t="s">
        <v>50</v>
      </c>
      <c r="B169" s="205" t="s">
        <v>291</v>
      </c>
      <c r="C169" s="151">
        <v>8</v>
      </c>
    </row>
    <row r="170" spans="1:4" ht="15.75" x14ac:dyDescent="0.25">
      <c r="A170" s="116" t="s">
        <v>50</v>
      </c>
      <c r="B170" s="205" t="s">
        <v>292</v>
      </c>
      <c r="C170" s="150">
        <v>8</v>
      </c>
    </row>
    <row r="171" spans="1:4" ht="15.75" x14ac:dyDescent="0.25">
      <c r="A171" s="116" t="s">
        <v>50</v>
      </c>
      <c r="B171" s="205" t="s">
        <v>293</v>
      </c>
      <c r="C171" s="151">
        <v>8</v>
      </c>
      <c r="D171" s="7">
        <f>SUM(C162:C171)</f>
        <v>80</v>
      </c>
    </row>
    <row r="172" spans="1:4" ht="15.75" x14ac:dyDescent="0.2">
      <c r="A172" s="117" t="s">
        <v>31</v>
      </c>
      <c r="B172" s="206" t="s">
        <v>304</v>
      </c>
      <c r="C172" s="152">
        <v>11</v>
      </c>
    </row>
    <row r="173" spans="1:4" ht="15.75" x14ac:dyDescent="0.2">
      <c r="A173" s="117" t="s">
        <v>31</v>
      </c>
      <c r="B173" s="207" t="s">
        <v>305</v>
      </c>
      <c r="C173" s="152">
        <v>11</v>
      </c>
    </row>
    <row r="174" spans="1:4" ht="15.75" x14ac:dyDescent="0.2">
      <c r="A174" s="117" t="s">
        <v>31</v>
      </c>
      <c r="B174" s="208" t="s">
        <v>306</v>
      </c>
      <c r="C174" s="152">
        <v>8</v>
      </c>
    </row>
    <row r="175" spans="1:4" ht="15.75" x14ac:dyDescent="0.2">
      <c r="A175" s="117" t="s">
        <v>31</v>
      </c>
      <c r="B175" s="206" t="s">
        <v>307</v>
      </c>
      <c r="C175" s="152">
        <v>8</v>
      </c>
    </row>
    <row r="176" spans="1:4" ht="15.75" x14ac:dyDescent="0.2">
      <c r="A176" s="117" t="s">
        <v>31</v>
      </c>
      <c r="B176" s="206" t="s">
        <v>308</v>
      </c>
      <c r="C176" s="152">
        <v>8</v>
      </c>
    </row>
    <row r="177" spans="1:4" ht="15.75" x14ac:dyDescent="0.2">
      <c r="A177" s="117" t="s">
        <v>31</v>
      </c>
      <c r="B177" s="206" t="s">
        <v>309</v>
      </c>
      <c r="C177" s="152">
        <v>8</v>
      </c>
    </row>
    <row r="178" spans="1:4" ht="31.5" x14ac:dyDescent="0.2">
      <c r="A178" s="117" t="s">
        <v>31</v>
      </c>
      <c r="B178" s="206" t="s">
        <v>416</v>
      </c>
      <c r="C178" s="152">
        <v>8</v>
      </c>
    </row>
    <row r="179" spans="1:4" ht="15.75" x14ac:dyDescent="0.2">
      <c r="A179" s="117" t="s">
        <v>31</v>
      </c>
      <c r="B179" s="206" t="s">
        <v>310</v>
      </c>
      <c r="C179" s="152">
        <v>8</v>
      </c>
    </row>
    <row r="180" spans="1:4" ht="15.75" x14ac:dyDescent="0.2">
      <c r="A180" s="117" t="s">
        <v>31</v>
      </c>
      <c r="B180" s="206" t="s">
        <v>311</v>
      </c>
      <c r="C180" s="152">
        <v>5</v>
      </c>
    </row>
    <row r="181" spans="1:4" ht="15.75" x14ac:dyDescent="0.2">
      <c r="A181" s="117" t="s">
        <v>31</v>
      </c>
      <c r="B181" s="206" t="s">
        <v>312</v>
      </c>
      <c r="C181" s="152">
        <v>5</v>
      </c>
      <c r="D181" s="7">
        <f>SUM(C172:C181)</f>
        <v>80</v>
      </c>
    </row>
    <row r="182" spans="1:4" ht="15.75" x14ac:dyDescent="0.25">
      <c r="A182" s="118" t="s">
        <v>323</v>
      </c>
      <c r="B182" s="209" t="s">
        <v>313</v>
      </c>
      <c r="C182" s="153">
        <v>11</v>
      </c>
    </row>
    <row r="183" spans="1:4" ht="15.75" x14ac:dyDescent="0.25">
      <c r="A183" s="118" t="s">
        <v>323</v>
      </c>
      <c r="B183" s="209" t="s">
        <v>314</v>
      </c>
      <c r="C183" s="153">
        <v>11</v>
      </c>
    </row>
    <row r="184" spans="1:4" ht="15.75" x14ac:dyDescent="0.25">
      <c r="A184" s="118" t="s">
        <v>323</v>
      </c>
      <c r="B184" s="209" t="s">
        <v>315</v>
      </c>
      <c r="C184" s="153">
        <v>8</v>
      </c>
    </row>
    <row r="185" spans="1:4" ht="15.75" x14ac:dyDescent="0.25">
      <c r="A185" s="118" t="s">
        <v>323</v>
      </c>
      <c r="B185" s="209" t="s">
        <v>316</v>
      </c>
      <c r="C185" s="153">
        <v>8</v>
      </c>
    </row>
    <row r="186" spans="1:4" ht="15.75" x14ac:dyDescent="0.25">
      <c r="A186" s="118" t="s">
        <v>323</v>
      </c>
      <c r="B186" s="209" t="s">
        <v>317</v>
      </c>
      <c r="C186" s="153">
        <v>8</v>
      </c>
    </row>
    <row r="187" spans="1:4" ht="15.75" x14ac:dyDescent="0.25">
      <c r="A187" s="118" t="s">
        <v>323</v>
      </c>
      <c r="B187" s="209" t="s">
        <v>318</v>
      </c>
      <c r="C187" s="153">
        <v>8</v>
      </c>
    </row>
    <row r="188" spans="1:4" ht="15.75" x14ac:dyDescent="0.25">
      <c r="A188" s="118" t="s">
        <v>323</v>
      </c>
      <c r="B188" s="209" t="s">
        <v>319</v>
      </c>
      <c r="C188" s="153">
        <v>8</v>
      </c>
    </row>
    <row r="189" spans="1:4" ht="15.75" x14ac:dyDescent="0.25">
      <c r="A189" s="118" t="s">
        <v>323</v>
      </c>
      <c r="B189" s="209" t="s">
        <v>320</v>
      </c>
      <c r="C189" s="153">
        <v>8</v>
      </c>
    </row>
    <row r="190" spans="1:4" ht="15.75" x14ac:dyDescent="0.25">
      <c r="A190" s="118" t="s">
        <v>323</v>
      </c>
      <c r="B190" s="209" t="s">
        <v>321</v>
      </c>
      <c r="C190" s="153">
        <v>5</v>
      </c>
    </row>
    <row r="191" spans="1:4" ht="15.75" x14ac:dyDescent="0.25">
      <c r="A191" s="119" t="s">
        <v>323</v>
      </c>
      <c r="B191" s="209" t="s">
        <v>322</v>
      </c>
      <c r="C191" s="154">
        <v>5</v>
      </c>
      <c r="D191" s="7">
        <f>SUM(C182:C191)</f>
        <v>80</v>
      </c>
    </row>
    <row r="192" spans="1:4" ht="15" x14ac:dyDescent="0.25">
      <c r="A192" s="160" t="s">
        <v>9</v>
      </c>
      <c r="B192" s="210" t="s">
        <v>347</v>
      </c>
      <c r="C192" s="155">
        <v>11</v>
      </c>
    </row>
    <row r="193" spans="1:4" ht="15" x14ac:dyDescent="0.25">
      <c r="A193" s="160" t="s">
        <v>9</v>
      </c>
      <c r="B193" s="210" t="s">
        <v>348</v>
      </c>
      <c r="C193" s="155">
        <v>10</v>
      </c>
    </row>
    <row r="194" spans="1:4" ht="15" x14ac:dyDescent="0.25">
      <c r="A194" s="160" t="s">
        <v>9</v>
      </c>
      <c r="B194" s="210" t="s">
        <v>349</v>
      </c>
      <c r="C194" s="155">
        <v>10</v>
      </c>
    </row>
    <row r="195" spans="1:4" ht="15" x14ac:dyDescent="0.25">
      <c r="A195" s="160" t="s">
        <v>9</v>
      </c>
      <c r="B195" s="210" t="s">
        <v>350</v>
      </c>
      <c r="C195" s="155">
        <v>10</v>
      </c>
    </row>
    <row r="196" spans="1:4" ht="15" x14ac:dyDescent="0.25">
      <c r="A196" s="160" t="s">
        <v>9</v>
      </c>
      <c r="B196" s="210" t="s">
        <v>351</v>
      </c>
      <c r="C196" s="155">
        <v>8</v>
      </c>
    </row>
    <row r="197" spans="1:4" ht="15" x14ac:dyDescent="0.25">
      <c r="A197" s="160" t="s">
        <v>9</v>
      </c>
      <c r="B197" s="210" t="s">
        <v>352</v>
      </c>
      <c r="C197" s="155">
        <v>8</v>
      </c>
    </row>
    <row r="198" spans="1:4" ht="15" x14ac:dyDescent="0.25">
      <c r="A198" s="160" t="s">
        <v>9</v>
      </c>
      <c r="B198" s="210" t="s">
        <v>353</v>
      </c>
      <c r="C198" s="155">
        <v>7</v>
      </c>
    </row>
    <row r="199" spans="1:4" ht="15" x14ac:dyDescent="0.25">
      <c r="A199" s="160" t="s">
        <v>9</v>
      </c>
      <c r="B199" s="210" t="s">
        <v>354</v>
      </c>
      <c r="C199" s="155">
        <v>6</v>
      </c>
    </row>
    <row r="200" spans="1:4" ht="15" x14ac:dyDescent="0.25">
      <c r="A200" s="160" t="s">
        <v>9</v>
      </c>
      <c r="B200" s="210" t="s">
        <v>355</v>
      </c>
      <c r="C200" s="155">
        <v>5</v>
      </c>
    </row>
    <row r="201" spans="1:4" ht="15" x14ac:dyDescent="0.25">
      <c r="A201" s="161" t="s">
        <v>9</v>
      </c>
      <c r="B201" s="210" t="s">
        <v>356</v>
      </c>
      <c r="C201" s="88">
        <v>5</v>
      </c>
      <c r="D201" s="7">
        <f>SUM(C192:C201)</f>
        <v>80</v>
      </c>
    </row>
    <row r="202" spans="1:4" ht="15" x14ac:dyDescent="0.25">
      <c r="A202" s="162" t="s">
        <v>341</v>
      </c>
      <c r="B202" s="211" t="s">
        <v>343</v>
      </c>
      <c r="C202" s="95">
        <v>8</v>
      </c>
    </row>
    <row r="203" spans="1:4" ht="15" x14ac:dyDescent="0.25">
      <c r="A203" s="162" t="s">
        <v>341</v>
      </c>
      <c r="B203" s="211" t="s">
        <v>362</v>
      </c>
      <c r="C203" s="95">
        <v>8</v>
      </c>
    </row>
    <row r="204" spans="1:4" ht="15" x14ac:dyDescent="0.25">
      <c r="A204" s="162" t="s">
        <v>341</v>
      </c>
      <c r="B204" s="211" t="s">
        <v>346</v>
      </c>
      <c r="C204" s="95">
        <v>8</v>
      </c>
    </row>
    <row r="205" spans="1:4" ht="20.25" customHeight="1" x14ac:dyDescent="0.25">
      <c r="A205" s="162" t="s">
        <v>341</v>
      </c>
      <c r="B205" s="211" t="s">
        <v>345</v>
      </c>
      <c r="C205" s="95">
        <v>8</v>
      </c>
    </row>
    <row r="206" spans="1:4" ht="15" x14ac:dyDescent="0.25">
      <c r="A206" s="162" t="s">
        <v>341</v>
      </c>
      <c r="B206" s="211" t="s">
        <v>357</v>
      </c>
      <c r="C206" s="95">
        <v>8</v>
      </c>
    </row>
    <row r="207" spans="1:4" ht="15" x14ac:dyDescent="0.25">
      <c r="A207" s="162" t="s">
        <v>341</v>
      </c>
      <c r="B207" s="211" t="s">
        <v>344</v>
      </c>
      <c r="C207" s="95">
        <v>8</v>
      </c>
    </row>
    <row r="208" spans="1:4" ht="15" x14ac:dyDescent="0.25">
      <c r="A208" s="162" t="s">
        <v>341</v>
      </c>
      <c r="B208" s="211" t="s">
        <v>360</v>
      </c>
      <c r="C208" s="95">
        <v>8</v>
      </c>
    </row>
    <row r="209" spans="1:4" ht="15" x14ac:dyDescent="0.25">
      <c r="A209" s="162" t="s">
        <v>341</v>
      </c>
      <c r="B209" s="211" t="s">
        <v>342</v>
      </c>
      <c r="C209" s="95">
        <v>8</v>
      </c>
    </row>
    <row r="210" spans="1:4" ht="15" x14ac:dyDescent="0.25">
      <c r="A210" s="162" t="s">
        <v>341</v>
      </c>
      <c r="B210" s="211" t="s">
        <v>358</v>
      </c>
      <c r="C210" s="95">
        <v>8</v>
      </c>
    </row>
    <row r="211" spans="1:4" ht="15" x14ac:dyDescent="0.25">
      <c r="A211" s="162" t="s">
        <v>341</v>
      </c>
      <c r="B211" s="211" t="s">
        <v>359</v>
      </c>
      <c r="C211" s="94">
        <v>8</v>
      </c>
      <c r="D211" s="7">
        <f>SUM(C202:C211)</f>
        <v>80</v>
      </c>
    </row>
    <row r="212" spans="1:4" ht="15" x14ac:dyDescent="0.25">
      <c r="A212" s="120" t="s">
        <v>25</v>
      </c>
      <c r="B212" s="212" t="s">
        <v>363</v>
      </c>
      <c r="C212" s="156">
        <v>11</v>
      </c>
    </row>
    <row r="213" spans="1:4" ht="15" x14ac:dyDescent="0.25">
      <c r="A213" s="120" t="s">
        <v>25</v>
      </c>
      <c r="B213" s="212" t="s">
        <v>364</v>
      </c>
      <c r="C213" s="156">
        <v>11</v>
      </c>
    </row>
    <row r="214" spans="1:4" ht="15" x14ac:dyDescent="0.25">
      <c r="A214" s="120" t="s">
        <v>25</v>
      </c>
      <c r="B214" s="212" t="s">
        <v>365</v>
      </c>
      <c r="C214" s="156">
        <v>11</v>
      </c>
    </row>
    <row r="215" spans="1:4" ht="15" x14ac:dyDescent="0.25">
      <c r="A215" s="120" t="s">
        <v>25</v>
      </c>
      <c r="B215" s="212" t="s">
        <v>366</v>
      </c>
      <c r="C215" s="156">
        <v>8</v>
      </c>
    </row>
    <row r="216" spans="1:4" ht="15" x14ac:dyDescent="0.25">
      <c r="A216" s="120" t="s">
        <v>25</v>
      </c>
      <c r="B216" s="212" t="s">
        <v>367</v>
      </c>
      <c r="C216" s="156">
        <v>8</v>
      </c>
    </row>
    <row r="217" spans="1:4" ht="15" x14ac:dyDescent="0.25">
      <c r="A217" s="120" t="s">
        <v>25</v>
      </c>
      <c r="B217" s="212" t="s">
        <v>368</v>
      </c>
      <c r="C217" s="156">
        <v>8</v>
      </c>
    </row>
    <row r="218" spans="1:4" ht="15" x14ac:dyDescent="0.25">
      <c r="A218" s="120" t="s">
        <v>25</v>
      </c>
      <c r="B218" s="212" t="s">
        <v>369</v>
      </c>
      <c r="C218" s="156">
        <v>6</v>
      </c>
    </row>
    <row r="219" spans="1:4" ht="15" x14ac:dyDescent="0.25">
      <c r="A219" s="120" t="s">
        <v>25</v>
      </c>
      <c r="B219" s="212" t="s">
        <v>370</v>
      </c>
      <c r="C219" s="156">
        <v>6</v>
      </c>
    </row>
    <row r="220" spans="1:4" ht="15" x14ac:dyDescent="0.25">
      <c r="A220" s="120" t="s">
        <v>25</v>
      </c>
      <c r="B220" s="212" t="s">
        <v>371</v>
      </c>
      <c r="C220" s="156">
        <v>5</v>
      </c>
    </row>
    <row r="221" spans="1:4" ht="15" x14ac:dyDescent="0.25">
      <c r="A221" s="120" t="s">
        <v>25</v>
      </c>
      <c r="B221" s="212" t="s">
        <v>372</v>
      </c>
      <c r="C221" s="156">
        <v>6</v>
      </c>
      <c r="D221" s="7">
        <f>SUM(C212:C221)</f>
        <v>80</v>
      </c>
    </row>
    <row r="222" spans="1:4" ht="15" x14ac:dyDescent="0.2">
      <c r="A222" s="121" t="s">
        <v>48</v>
      </c>
      <c r="B222" s="213" t="s">
        <v>373</v>
      </c>
      <c r="C222" s="157">
        <v>10</v>
      </c>
    </row>
    <row r="223" spans="1:4" ht="15" x14ac:dyDescent="0.2">
      <c r="A223" s="121" t="s">
        <v>48</v>
      </c>
      <c r="B223" s="213" t="s">
        <v>374</v>
      </c>
      <c r="C223" s="157">
        <v>10</v>
      </c>
    </row>
    <row r="224" spans="1:4" ht="15" x14ac:dyDescent="0.2">
      <c r="A224" s="121" t="s">
        <v>48</v>
      </c>
      <c r="B224" s="213" t="s">
        <v>375</v>
      </c>
      <c r="C224" s="157">
        <v>10</v>
      </c>
    </row>
    <row r="225" spans="1:4" ht="15" x14ac:dyDescent="0.2">
      <c r="A225" s="121" t="s">
        <v>48</v>
      </c>
      <c r="B225" s="213" t="s">
        <v>376</v>
      </c>
      <c r="C225" s="157">
        <v>8</v>
      </c>
    </row>
    <row r="226" spans="1:4" ht="15" x14ac:dyDescent="0.2">
      <c r="A226" s="121" t="s">
        <v>48</v>
      </c>
      <c r="B226" s="213" t="s">
        <v>377</v>
      </c>
      <c r="C226" s="157">
        <v>8</v>
      </c>
    </row>
    <row r="227" spans="1:4" ht="15" x14ac:dyDescent="0.2">
      <c r="A227" s="121" t="s">
        <v>48</v>
      </c>
      <c r="B227" s="213" t="s">
        <v>378</v>
      </c>
      <c r="C227" s="157">
        <v>9</v>
      </c>
    </row>
    <row r="228" spans="1:4" ht="15" x14ac:dyDescent="0.2">
      <c r="A228" s="121" t="s">
        <v>48</v>
      </c>
      <c r="B228" s="213" t="s">
        <v>379</v>
      </c>
      <c r="C228" s="157">
        <v>8</v>
      </c>
    </row>
    <row r="229" spans="1:4" ht="15" x14ac:dyDescent="0.2">
      <c r="A229" s="121" t="s">
        <v>48</v>
      </c>
      <c r="B229" s="213" t="s">
        <v>380</v>
      </c>
      <c r="C229" s="157">
        <v>6</v>
      </c>
    </row>
    <row r="230" spans="1:4" ht="15" x14ac:dyDescent="0.2">
      <c r="A230" s="121" t="s">
        <v>48</v>
      </c>
      <c r="B230" s="213" t="s">
        <v>381</v>
      </c>
      <c r="C230" s="157">
        <v>6</v>
      </c>
    </row>
    <row r="231" spans="1:4" ht="15" x14ac:dyDescent="0.2">
      <c r="A231" s="122" t="s">
        <v>48</v>
      </c>
      <c r="B231" s="213" t="s">
        <v>382</v>
      </c>
      <c r="C231" s="158">
        <v>5</v>
      </c>
      <c r="D231" s="7">
        <f>SUM(C222:C231)</f>
        <v>80</v>
      </c>
    </row>
    <row r="232" spans="1:4" ht="15" x14ac:dyDescent="0.2">
      <c r="A232" s="123" t="s">
        <v>17</v>
      </c>
      <c r="B232" s="214" t="s">
        <v>383</v>
      </c>
      <c r="C232" s="159">
        <v>11</v>
      </c>
    </row>
    <row r="233" spans="1:4" ht="15" x14ac:dyDescent="0.2">
      <c r="A233" s="123" t="s">
        <v>17</v>
      </c>
      <c r="B233" s="214" t="s">
        <v>384</v>
      </c>
      <c r="C233" s="159">
        <v>11</v>
      </c>
    </row>
    <row r="234" spans="1:4" ht="15" x14ac:dyDescent="0.2">
      <c r="A234" s="123" t="s">
        <v>17</v>
      </c>
      <c r="B234" s="214" t="s">
        <v>385</v>
      </c>
      <c r="C234" s="159">
        <v>11</v>
      </c>
    </row>
    <row r="235" spans="1:4" ht="15" x14ac:dyDescent="0.2">
      <c r="A235" s="123" t="s">
        <v>17</v>
      </c>
      <c r="B235" s="214" t="s">
        <v>386</v>
      </c>
      <c r="C235" s="159">
        <v>8</v>
      </c>
    </row>
    <row r="236" spans="1:4" ht="15" x14ac:dyDescent="0.2">
      <c r="A236" s="123" t="s">
        <v>17</v>
      </c>
      <c r="B236" s="214" t="s">
        <v>387</v>
      </c>
      <c r="C236" s="159">
        <v>8</v>
      </c>
    </row>
    <row r="237" spans="1:4" ht="15" x14ac:dyDescent="0.2">
      <c r="A237" s="123" t="s">
        <v>17</v>
      </c>
      <c r="B237" s="214" t="s">
        <v>388</v>
      </c>
      <c r="C237" s="159">
        <v>7</v>
      </c>
    </row>
    <row r="238" spans="1:4" ht="15" x14ac:dyDescent="0.2">
      <c r="A238" s="123" t="s">
        <v>17</v>
      </c>
      <c r="B238" s="214" t="s">
        <v>389</v>
      </c>
      <c r="C238" s="159">
        <v>6</v>
      </c>
    </row>
    <row r="239" spans="1:4" ht="15" x14ac:dyDescent="0.2">
      <c r="A239" s="123" t="s">
        <v>17</v>
      </c>
      <c r="B239" s="214" t="s">
        <v>390</v>
      </c>
      <c r="C239" s="159">
        <v>6</v>
      </c>
    </row>
    <row r="240" spans="1:4" ht="15" x14ac:dyDescent="0.2">
      <c r="A240" s="123" t="s">
        <v>17</v>
      </c>
      <c r="B240" s="214" t="s">
        <v>391</v>
      </c>
      <c r="C240" s="159">
        <v>6</v>
      </c>
    </row>
    <row r="241" spans="1:4" ht="15" x14ac:dyDescent="0.2">
      <c r="A241" s="165" t="s">
        <v>17</v>
      </c>
      <c r="B241" s="215" t="s">
        <v>392</v>
      </c>
      <c r="C241" s="166">
        <v>6</v>
      </c>
      <c r="D241" s="7">
        <f>SUM(C232:C241)</f>
        <v>80</v>
      </c>
    </row>
    <row r="242" spans="1:4" ht="15" x14ac:dyDescent="0.2">
      <c r="A242" s="164" t="s">
        <v>21</v>
      </c>
      <c r="B242" s="216" t="s">
        <v>393</v>
      </c>
      <c r="C242" s="167">
        <v>12</v>
      </c>
    </row>
    <row r="243" spans="1:4" ht="15" x14ac:dyDescent="0.2">
      <c r="A243" s="164" t="s">
        <v>21</v>
      </c>
      <c r="B243" s="216" t="s">
        <v>394</v>
      </c>
      <c r="C243" s="167">
        <v>12</v>
      </c>
    </row>
    <row r="244" spans="1:4" ht="15" x14ac:dyDescent="0.2">
      <c r="A244" s="164" t="s">
        <v>21</v>
      </c>
      <c r="B244" s="216" t="s">
        <v>395</v>
      </c>
      <c r="C244" s="167">
        <v>12</v>
      </c>
    </row>
    <row r="245" spans="1:4" ht="15" x14ac:dyDescent="0.2">
      <c r="A245" s="164" t="s">
        <v>21</v>
      </c>
      <c r="B245" s="216" t="s">
        <v>396</v>
      </c>
      <c r="C245" s="167">
        <v>8</v>
      </c>
    </row>
    <row r="246" spans="1:4" ht="15" x14ac:dyDescent="0.2">
      <c r="A246" s="164" t="s">
        <v>21</v>
      </c>
      <c r="B246" s="216" t="s">
        <v>397</v>
      </c>
      <c r="C246" s="167">
        <v>8</v>
      </c>
    </row>
    <row r="247" spans="1:4" ht="15" x14ac:dyDescent="0.2">
      <c r="A247" s="164" t="s">
        <v>21</v>
      </c>
      <c r="B247" s="216" t="s">
        <v>398</v>
      </c>
      <c r="C247" s="167">
        <v>8</v>
      </c>
    </row>
    <row r="248" spans="1:4" ht="15" x14ac:dyDescent="0.2">
      <c r="A248" s="164" t="s">
        <v>21</v>
      </c>
      <c r="B248" s="216" t="s">
        <v>399</v>
      </c>
      <c r="C248" s="167">
        <v>6</v>
      </c>
    </row>
    <row r="249" spans="1:4" ht="15" x14ac:dyDescent="0.2">
      <c r="A249" s="164" t="s">
        <v>21</v>
      </c>
      <c r="B249" s="216" t="s">
        <v>400</v>
      </c>
      <c r="C249" s="167">
        <v>6</v>
      </c>
    </row>
    <row r="250" spans="1:4" ht="15" x14ac:dyDescent="0.2">
      <c r="A250" s="164" t="s">
        <v>21</v>
      </c>
      <c r="B250" s="216" t="s">
        <v>401</v>
      </c>
      <c r="C250" s="167">
        <v>4</v>
      </c>
    </row>
    <row r="251" spans="1:4" ht="15.75" thickBot="1" x14ac:dyDescent="0.25">
      <c r="A251" s="164" t="s">
        <v>21</v>
      </c>
      <c r="B251" s="216" t="s">
        <v>402</v>
      </c>
      <c r="C251" s="167">
        <v>4</v>
      </c>
      <c r="D251" s="7">
        <f>SUM(C242:C251)</f>
        <v>80</v>
      </c>
    </row>
    <row r="252" spans="1:4" ht="15.75" thickBot="1" x14ac:dyDescent="0.25">
      <c r="A252" s="168" t="s">
        <v>19</v>
      </c>
      <c r="B252" s="217" t="s">
        <v>403</v>
      </c>
      <c r="C252" s="169">
        <v>11</v>
      </c>
    </row>
    <row r="253" spans="1:4" ht="15.75" thickBot="1" x14ac:dyDescent="0.25">
      <c r="A253" s="168" t="s">
        <v>19</v>
      </c>
      <c r="B253" s="217" t="s">
        <v>411</v>
      </c>
      <c r="C253" s="169">
        <v>10</v>
      </c>
    </row>
    <row r="254" spans="1:4" ht="15.75" thickBot="1" x14ac:dyDescent="0.25">
      <c r="A254" s="168" t="s">
        <v>19</v>
      </c>
      <c r="B254" s="217" t="s">
        <v>404</v>
      </c>
      <c r="C254" s="169">
        <v>10</v>
      </c>
    </row>
    <row r="255" spans="1:4" ht="15.75" thickBot="1" x14ac:dyDescent="0.25">
      <c r="A255" s="168" t="s">
        <v>19</v>
      </c>
      <c r="B255" s="217" t="s">
        <v>405</v>
      </c>
      <c r="C255" s="169">
        <v>8</v>
      </c>
    </row>
    <row r="256" spans="1:4" ht="15.75" thickBot="1" x14ac:dyDescent="0.25">
      <c r="A256" s="168" t="s">
        <v>19</v>
      </c>
      <c r="B256" s="217" t="s">
        <v>406</v>
      </c>
      <c r="C256" s="169">
        <v>8</v>
      </c>
    </row>
    <row r="257" spans="1:4" ht="15.75" thickBot="1" x14ac:dyDescent="0.25">
      <c r="A257" s="168" t="s">
        <v>19</v>
      </c>
      <c r="B257" s="217" t="s">
        <v>407</v>
      </c>
      <c r="C257" s="169">
        <v>8</v>
      </c>
    </row>
    <row r="258" spans="1:4" ht="15.75" thickBot="1" x14ac:dyDescent="0.25">
      <c r="A258" s="168" t="s">
        <v>19</v>
      </c>
      <c r="B258" s="217" t="s">
        <v>408</v>
      </c>
      <c r="C258" s="169">
        <v>7</v>
      </c>
    </row>
    <row r="259" spans="1:4" ht="15.75" thickBot="1" x14ac:dyDescent="0.25">
      <c r="A259" s="168" t="s">
        <v>19</v>
      </c>
      <c r="B259" s="217" t="s">
        <v>409</v>
      </c>
      <c r="C259" s="169">
        <v>6</v>
      </c>
    </row>
    <row r="260" spans="1:4" ht="15" x14ac:dyDescent="0.2">
      <c r="A260" s="168" t="s">
        <v>19</v>
      </c>
      <c r="B260" s="218" t="s">
        <v>412</v>
      </c>
      <c r="C260" s="169">
        <v>6</v>
      </c>
    </row>
    <row r="261" spans="1:4" ht="15" x14ac:dyDescent="0.2">
      <c r="A261" s="176" t="s">
        <v>19</v>
      </c>
      <c r="B261" s="219" t="s">
        <v>410</v>
      </c>
      <c r="C261" s="169">
        <v>6</v>
      </c>
      <c r="D261" s="7">
        <f>SUM(C252:C261)</f>
        <v>80</v>
      </c>
    </row>
    <row r="262" spans="1:4" ht="15" x14ac:dyDescent="0.2">
      <c r="A262" s="65" t="s">
        <v>417</v>
      </c>
      <c r="B262" s="220" t="s">
        <v>418</v>
      </c>
      <c r="C262" s="221">
        <v>8</v>
      </c>
    </row>
    <row r="263" spans="1:4" ht="15" x14ac:dyDescent="0.2">
      <c r="A263" s="65" t="s">
        <v>417</v>
      </c>
      <c r="B263" s="220" t="s">
        <v>419</v>
      </c>
      <c r="C263" s="221">
        <v>10</v>
      </c>
    </row>
    <row r="264" spans="1:4" ht="15" x14ac:dyDescent="0.2">
      <c r="A264" s="65" t="s">
        <v>417</v>
      </c>
      <c r="B264" s="220" t="s">
        <v>420</v>
      </c>
      <c r="C264" s="221">
        <v>6</v>
      </c>
    </row>
    <row r="265" spans="1:4" ht="15" x14ac:dyDescent="0.2">
      <c r="A265" s="65" t="s">
        <v>417</v>
      </c>
      <c r="B265" s="220" t="s">
        <v>421</v>
      </c>
      <c r="C265" s="221">
        <v>10</v>
      </c>
    </row>
    <row r="266" spans="1:4" ht="15" x14ac:dyDescent="0.2">
      <c r="A266" s="65" t="s">
        <v>417</v>
      </c>
      <c r="B266" s="220" t="s">
        <v>422</v>
      </c>
      <c r="C266" s="221">
        <v>8</v>
      </c>
    </row>
    <row r="267" spans="1:4" ht="15" x14ac:dyDescent="0.2">
      <c r="A267" s="65" t="s">
        <v>417</v>
      </c>
      <c r="B267" s="220" t="s">
        <v>423</v>
      </c>
      <c r="C267" s="221">
        <v>10</v>
      </c>
    </row>
    <row r="268" spans="1:4" ht="15" x14ac:dyDescent="0.2">
      <c r="A268" s="65" t="s">
        <v>417</v>
      </c>
      <c r="B268" s="220" t="s">
        <v>424</v>
      </c>
      <c r="C268" s="221">
        <v>6</v>
      </c>
    </row>
    <row r="269" spans="1:4" ht="15" x14ac:dyDescent="0.2">
      <c r="A269" s="65" t="s">
        <v>417</v>
      </c>
      <c r="B269" s="220" t="s">
        <v>425</v>
      </c>
      <c r="C269" s="221">
        <v>8</v>
      </c>
    </row>
    <row r="270" spans="1:4" ht="15" x14ac:dyDescent="0.2">
      <c r="A270" s="65" t="s">
        <v>417</v>
      </c>
      <c r="B270" s="220" t="s">
        <v>426</v>
      </c>
      <c r="C270" s="221">
        <v>8</v>
      </c>
    </row>
    <row r="271" spans="1:4" ht="15" x14ac:dyDescent="0.2">
      <c r="A271" s="65" t="s">
        <v>417</v>
      </c>
      <c r="B271" s="220" t="s">
        <v>427</v>
      </c>
      <c r="C271" s="221">
        <v>6</v>
      </c>
      <c r="D271" s="7">
        <f>SUM(C262:C271)</f>
        <v>80</v>
      </c>
    </row>
    <row r="272" spans="1:4" x14ac:dyDescent="0.2">
      <c r="B272" s="174"/>
      <c r="C272" s="175"/>
    </row>
    <row r="273" spans="2:3" x14ac:dyDescent="0.2">
      <c r="B273" s="174"/>
      <c r="C273" s="175"/>
    </row>
    <row r="274" spans="2:3" x14ac:dyDescent="0.2">
      <c r="B274" s="174"/>
      <c r="C274" s="175"/>
    </row>
    <row r="275" spans="2:3" x14ac:dyDescent="0.2">
      <c r="B275" s="174"/>
      <c r="C275" s="175"/>
    </row>
    <row r="276" spans="2:3" x14ac:dyDescent="0.2">
      <c r="B276" s="174"/>
      <c r="C276" s="175"/>
    </row>
    <row r="277" spans="2:3" x14ac:dyDescent="0.2">
      <c r="B277" s="174"/>
      <c r="C277" s="175"/>
    </row>
    <row r="278" spans="2:3" x14ac:dyDescent="0.2">
      <c r="B278" s="174"/>
      <c r="C278" s="175"/>
    </row>
    <row r="279" spans="2:3" x14ac:dyDescent="0.2">
      <c r="B279" s="174"/>
      <c r="C279" s="175"/>
    </row>
    <row r="280" spans="2:3" x14ac:dyDescent="0.2">
      <c r="B280" s="174"/>
      <c r="C280" s="175"/>
    </row>
    <row r="281" spans="2:3" x14ac:dyDescent="0.2">
      <c r="B281" s="174"/>
      <c r="C281" s="175"/>
    </row>
    <row r="282" spans="2:3" x14ac:dyDescent="0.2">
      <c r="B282" s="174"/>
      <c r="C282" s="175"/>
    </row>
    <row r="283" spans="2:3" x14ac:dyDescent="0.2">
      <c r="B283" s="174"/>
      <c r="C283" s="175"/>
    </row>
    <row r="284" spans="2:3" x14ac:dyDescent="0.2">
      <c r="B284" s="174"/>
      <c r="C284" s="175"/>
    </row>
    <row r="285" spans="2:3" x14ac:dyDescent="0.2">
      <c r="B285" s="174"/>
      <c r="C285" s="175"/>
    </row>
    <row r="286" spans="2:3" x14ac:dyDescent="0.2">
      <c r="B286" s="174"/>
      <c r="C286" s="175"/>
    </row>
    <row r="287" spans="2:3" x14ac:dyDescent="0.2">
      <c r="B287" s="174"/>
      <c r="C287" s="175"/>
    </row>
    <row r="288" spans="2:3" x14ac:dyDescent="0.2">
      <c r="B288" s="174"/>
      <c r="C288" s="175"/>
    </row>
    <row r="289" spans="2:3" x14ac:dyDescent="0.2">
      <c r="B289" s="174"/>
      <c r="C289" s="175"/>
    </row>
    <row r="290" spans="2:3" x14ac:dyDescent="0.2">
      <c r="B290" s="174"/>
      <c r="C290" s="175"/>
    </row>
    <row r="291" spans="2:3" x14ac:dyDescent="0.2">
      <c r="B291" s="174"/>
      <c r="C291" s="175"/>
    </row>
    <row r="292" spans="2:3" x14ac:dyDescent="0.2">
      <c r="B292" s="174"/>
      <c r="C292" s="175"/>
    </row>
    <row r="293" spans="2:3" x14ac:dyDescent="0.2">
      <c r="B293" s="174"/>
      <c r="C293" s="175"/>
    </row>
    <row r="294" spans="2:3" x14ac:dyDescent="0.2">
      <c r="B294" s="174"/>
      <c r="C294" s="175"/>
    </row>
    <row r="295" spans="2:3" x14ac:dyDescent="0.2">
      <c r="B295" s="174"/>
      <c r="C295" s="175"/>
    </row>
    <row r="296" spans="2:3" x14ac:dyDescent="0.2">
      <c r="B296" s="174"/>
      <c r="C296" s="175"/>
    </row>
    <row r="297" spans="2:3" x14ac:dyDescent="0.2">
      <c r="B297" s="174"/>
      <c r="C297" s="175"/>
    </row>
    <row r="298" spans="2:3" x14ac:dyDescent="0.2">
      <c r="B298" s="174"/>
      <c r="C298" s="175"/>
    </row>
    <row r="299" spans="2:3" x14ac:dyDescent="0.2">
      <c r="B299" s="174"/>
      <c r="C299" s="175"/>
    </row>
    <row r="300" spans="2:3" x14ac:dyDescent="0.2">
      <c r="B300" s="174"/>
      <c r="C300" s="175"/>
    </row>
    <row r="301" spans="2:3" x14ac:dyDescent="0.2">
      <c r="B301" s="174"/>
      <c r="C301" s="175"/>
    </row>
    <row r="302" spans="2:3" x14ac:dyDescent="0.2">
      <c r="B302" s="174"/>
      <c r="C302" s="175"/>
    </row>
    <row r="303" spans="2:3" x14ac:dyDescent="0.2">
      <c r="B303" s="174"/>
      <c r="C303" s="175"/>
    </row>
    <row r="304" spans="2:3" x14ac:dyDescent="0.2">
      <c r="B304" s="174"/>
      <c r="C304" s="175"/>
    </row>
    <row r="305" spans="2:3" x14ac:dyDescent="0.2">
      <c r="B305" s="174"/>
      <c r="C305" s="175"/>
    </row>
    <row r="306" spans="2:3" x14ac:dyDescent="0.2">
      <c r="B306" s="174"/>
      <c r="C306" s="175"/>
    </row>
    <row r="307" spans="2:3" x14ac:dyDescent="0.2">
      <c r="B307" s="174"/>
      <c r="C307" s="175"/>
    </row>
    <row r="308" spans="2:3" x14ac:dyDescent="0.2">
      <c r="B308" s="174"/>
      <c r="C308" s="175"/>
    </row>
    <row r="309" spans="2:3" x14ac:dyDescent="0.2">
      <c r="B309" s="174"/>
      <c r="C309" s="175"/>
    </row>
    <row r="310" spans="2:3" x14ac:dyDescent="0.2">
      <c r="B310" s="174"/>
      <c r="C310" s="175"/>
    </row>
    <row r="311" spans="2:3" x14ac:dyDescent="0.2">
      <c r="B311" s="174"/>
      <c r="C311" s="175"/>
    </row>
    <row r="312" spans="2:3" x14ac:dyDescent="0.2">
      <c r="B312" s="174"/>
      <c r="C312" s="175"/>
    </row>
    <row r="313" spans="2:3" x14ac:dyDescent="0.2">
      <c r="B313" s="174"/>
      <c r="C313" s="175"/>
    </row>
    <row r="314" spans="2:3" x14ac:dyDescent="0.2">
      <c r="B314" s="174"/>
      <c r="C314" s="175"/>
    </row>
    <row r="315" spans="2:3" x14ac:dyDescent="0.2">
      <c r="B315" s="174"/>
      <c r="C315" s="175"/>
    </row>
    <row r="316" spans="2:3" x14ac:dyDescent="0.2">
      <c r="B316" s="174"/>
      <c r="C316" s="175"/>
    </row>
    <row r="317" spans="2:3" x14ac:dyDescent="0.2">
      <c r="B317" s="174"/>
      <c r="C317" s="175"/>
    </row>
    <row r="318" spans="2:3" x14ac:dyDescent="0.2">
      <c r="B318" s="174"/>
      <c r="C318" s="175"/>
    </row>
    <row r="319" spans="2:3" x14ac:dyDescent="0.2">
      <c r="B319" s="174"/>
      <c r="C319" s="175"/>
    </row>
    <row r="320" spans="2:3" x14ac:dyDescent="0.2">
      <c r="B320" s="174"/>
      <c r="C320" s="175"/>
    </row>
    <row r="321" spans="2:3" x14ac:dyDescent="0.2">
      <c r="B321" s="174"/>
      <c r="C321" s="175"/>
    </row>
    <row r="322" spans="2:3" x14ac:dyDescent="0.2">
      <c r="B322" s="174"/>
      <c r="C322" s="175"/>
    </row>
    <row r="323" spans="2:3" x14ac:dyDescent="0.2">
      <c r="B323" s="174"/>
      <c r="C323" s="175"/>
    </row>
    <row r="324" spans="2:3" x14ac:dyDescent="0.2">
      <c r="B324" s="174"/>
      <c r="C324" s="175"/>
    </row>
    <row r="325" spans="2:3" x14ac:dyDescent="0.2">
      <c r="B325" s="174"/>
      <c r="C325" s="175"/>
    </row>
    <row r="326" spans="2:3" x14ac:dyDescent="0.2">
      <c r="B326" s="174"/>
      <c r="C326" s="175"/>
    </row>
    <row r="327" spans="2:3" x14ac:dyDescent="0.2">
      <c r="B327" s="174"/>
      <c r="C327" s="175"/>
    </row>
    <row r="328" spans="2:3" x14ac:dyDescent="0.2">
      <c r="B328" s="174"/>
      <c r="C328" s="175"/>
    </row>
    <row r="329" spans="2:3" x14ac:dyDescent="0.2">
      <c r="B329" s="174"/>
      <c r="C329" s="175"/>
    </row>
    <row r="330" spans="2:3" x14ac:dyDescent="0.2">
      <c r="B330" s="174"/>
      <c r="C330" s="175"/>
    </row>
    <row r="331" spans="2:3" x14ac:dyDescent="0.2">
      <c r="B331" s="174"/>
      <c r="C331" s="175"/>
    </row>
    <row r="332" spans="2:3" x14ac:dyDescent="0.2">
      <c r="B332" s="174"/>
      <c r="C332" s="175"/>
    </row>
    <row r="333" spans="2:3" x14ac:dyDescent="0.2">
      <c r="B333" s="174"/>
      <c r="C333" s="175"/>
    </row>
    <row r="334" spans="2:3" x14ac:dyDescent="0.2">
      <c r="B334" s="174"/>
      <c r="C334" s="175"/>
    </row>
    <row r="335" spans="2:3" x14ac:dyDescent="0.2">
      <c r="B335" s="174"/>
      <c r="C335" s="175"/>
    </row>
    <row r="336" spans="2:3" x14ac:dyDescent="0.2">
      <c r="B336" s="174"/>
      <c r="C336" s="175"/>
    </row>
    <row r="337" spans="2:3" x14ac:dyDescent="0.2">
      <c r="B337" s="174"/>
      <c r="C337" s="175"/>
    </row>
    <row r="338" spans="2:3" x14ac:dyDescent="0.2">
      <c r="B338" s="174"/>
      <c r="C338" s="175"/>
    </row>
    <row r="339" spans="2:3" x14ac:dyDescent="0.2">
      <c r="B339" s="174"/>
      <c r="C339" s="175"/>
    </row>
    <row r="340" spans="2:3" x14ac:dyDescent="0.2">
      <c r="B340" s="174"/>
      <c r="C340" s="175"/>
    </row>
    <row r="341" spans="2:3" x14ac:dyDescent="0.2">
      <c r="B341" s="174"/>
      <c r="C341" s="175"/>
    </row>
    <row r="342" spans="2:3" x14ac:dyDescent="0.2">
      <c r="B342" s="174"/>
      <c r="C342" s="175"/>
    </row>
    <row r="343" spans="2:3" x14ac:dyDescent="0.2">
      <c r="B343" s="174"/>
      <c r="C343" s="175"/>
    </row>
    <row r="344" spans="2:3" x14ac:dyDescent="0.2">
      <c r="B344" s="174"/>
      <c r="C344" s="175"/>
    </row>
    <row r="345" spans="2:3" x14ac:dyDescent="0.2">
      <c r="B345" s="174"/>
      <c r="C345" s="175"/>
    </row>
    <row r="346" spans="2:3" x14ac:dyDescent="0.2">
      <c r="B346" s="174"/>
      <c r="C346" s="175"/>
    </row>
    <row r="347" spans="2:3" x14ac:dyDescent="0.2">
      <c r="B347" s="174"/>
      <c r="C347" s="175"/>
    </row>
    <row r="348" spans="2:3" x14ac:dyDescent="0.2">
      <c r="B348" s="174"/>
      <c r="C348" s="175"/>
    </row>
    <row r="349" spans="2:3" x14ac:dyDescent="0.2">
      <c r="B349" s="174"/>
      <c r="C349" s="175"/>
    </row>
    <row r="350" spans="2:3" x14ac:dyDescent="0.2">
      <c r="B350" s="174"/>
      <c r="C350" s="175"/>
    </row>
    <row r="351" spans="2:3" x14ac:dyDescent="0.2">
      <c r="B351" s="174"/>
      <c r="C351" s="175"/>
    </row>
    <row r="352" spans="2:3" x14ac:dyDescent="0.2">
      <c r="B352" s="174"/>
      <c r="C352" s="175"/>
    </row>
    <row r="353" spans="2:3" x14ac:dyDescent="0.2">
      <c r="B353" s="174"/>
      <c r="C353" s="175"/>
    </row>
    <row r="354" spans="2:3" x14ac:dyDescent="0.2">
      <c r="B354" s="174"/>
      <c r="C354" s="175"/>
    </row>
    <row r="355" spans="2:3" x14ac:dyDescent="0.2">
      <c r="B355" s="174"/>
      <c r="C355" s="175"/>
    </row>
    <row r="356" spans="2:3" x14ac:dyDescent="0.2">
      <c r="B356" s="174"/>
      <c r="C356" s="175"/>
    </row>
    <row r="357" spans="2:3" x14ac:dyDescent="0.2">
      <c r="B357" s="174"/>
      <c r="C357" s="175"/>
    </row>
    <row r="358" spans="2:3" x14ac:dyDescent="0.2">
      <c r="B358" s="174"/>
      <c r="C358" s="175"/>
    </row>
    <row r="359" spans="2:3" x14ac:dyDescent="0.2">
      <c r="B359" s="174"/>
      <c r="C359" s="175"/>
    </row>
    <row r="360" spans="2:3" x14ac:dyDescent="0.2">
      <c r="B360" s="174"/>
      <c r="C360" s="175"/>
    </row>
    <row r="361" spans="2:3" x14ac:dyDescent="0.2">
      <c r="B361" s="174"/>
      <c r="C361" s="175"/>
    </row>
    <row r="362" spans="2:3" x14ac:dyDescent="0.2">
      <c r="B362" s="174"/>
      <c r="C362" s="175"/>
    </row>
    <row r="363" spans="2:3" x14ac:dyDescent="0.2">
      <c r="B363" s="174"/>
      <c r="C363" s="175"/>
    </row>
    <row r="364" spans="2:3" x14ac:dyDescent="0.2">
      <c r="B364" s="174"/>
      <c r="C364" s="175"/>
    </row>
    <row r="365" spans="2:3" x14ac:dyDescent="0.2">
      <c r="B365" s="174"/>
      <c r="C365" s="175"/>
    </row>
    <row r="366" spans="2:3" x14ac:dyDescent="0.2">
      <c r="B366" s="174"/>
      <c r="C366" s="175"/>
    </row>
    <row r="367" spans="2:3" x14ac:dyDescent="0.2">
      <c r="B367" s="174"/>
      <c r="C367" s="175"/>
    </row>
    <row r="368" spans="2:3" x14ac:dyDescent="0.2">
      <c r="B368" s="174"/>
      <c r="C368" s="175"/>
    </row>
    <row r="369" spans="2:3" x14ac:dyDescent="0.2">
      <c r="B369" s="174"/>
      <c r="C369" s="175"/>
    </row>
    <row r="370" spans="2:3" x14ac:dyDescent="0.2">
      <c r="B370" s="174"/>
      <c r="C370" s="175"/>
    </row>
    <row r="371" spans="2:3" x14ac:dyDescent="0.2">
      <c r="B371" s="174"/>
      <c r="C371" s="175"/>
    </row>
    <row r="372" spans="2:3" x14ac:dyDescent="0.2">
      <c r="B372" s="174"/>
      <c r="C372" s="175"/>
    </row>
    <row r="373" spans="2:3" x14ac:dyDescent="0.2">
      <c r="B373" s="174"/>
      <c r="C373" s="175"/>
    </row>
    <row r="374" spans="2:3" x14ac:dyDescent="0.2">
      <c r="B374" s="174"/>
      <c r="C374" s="175"/>
    </row>
    <row r="375" spans="2:3" x14ac:dyDescent="0.2">
      <c r="B375" s="174"/>
      <c r="C375" s="175"/>
    </row>
    <row r="376" spans="2:3" x14ac:dyDescent="0.2">
      <c r="B376" s="174"/>
      <c r="C376" s="175"/>
    </row>
    <row r="377" spans="2:3" x14ac:dyDescent="0.2">
      <c r="B377" s="174"/>
      <c r="C377" s="175"/>
    </row>
    <row r="378" spans="2:3" x14ac:dyDescent="0.2">
      <c r="B378" s="174"/>
      <c r="C378" s="175"/>
    </row>
    <row r="379" spans="2:3" x14ac:dyDescent="0.2">
      <c r="B379" s="174"/>
      <c r="C379" s="175"/>
    </row>
    <row r="380" spans="2:3" x14ac:dyDescent="0.2">
      <c r="B380" s="174"/>
      <c r="C380" s="175"/>
    </row>
    <row r="381" spans="2:3" x14ac:dyDescent="0.2">
      <c r="B381" s="174"/>
      <c r="C381" s="175"/>
    </row>
    <row r="382" spans="2:3" x14ac:dyDescent="0.2">
      <c r="B382" s="174"/>
      <c r="C382" s="175"/>
    </row>
    <row r="383" spans="2:3" x14ac:dyDescent="0.2">
      <c r="B383" s="174"/>
      <c r="C383" s="175"/>
    </row>
    <row r="384" spans="2:3" x14ac:dyDescent="0.2">
      <c r="B384" s="174"/>
      <c r="C384" s="175"/>
    </row>
    <row r="385" spans="2:3" x14ac:dyDescent="0.2">
      <c r="B385" s="174"/>
      <c r="C385" s="175"/>
    </row>
    <row r="386" spans="2:3" x14ac:dyDescent="0.2">
      <c r="B386" s="174"/>
      <c r="C386" s="175"/>
    </row>
    <row r="387" spans="2:3" x14ac:dyDescent="0.2">
      <c r="B387" s="174"/>
      <c r="C387" s="175"/>
    </row>
    <row r="388" spans="2:3" x14ac:dyDescent="0.2">
      <c r="B388" s="174"/>
      <c r="C388" s="175"/>
    </row>
    <row r="389" spans="2:3" x14ac:dyDescent="0.2">
      <c r="B389" s="174"/>
      <c r="C389" s="175"/>
    </row>
    <row r="390" spans="2:3" x14ac:dyDescent="0.2">
      <c r="B390" s="174"/>
      <c r="C390" s="175"/>
    </row>
    <row r="391" spans="2:3" x14ac:dyDescent="0.2">
      <c r="B391" s="174"/>
      <c r="C391" s="175"/>
    </row>
    <row r="392" spans="2:3" x14ac:dyDescent="0.2">
      <c r="B392" s="174"/>
      <c r="C392" s="175"/>
    </row>
    <row r="393" spans="2:3" x14ac:dyDescent="0.2">
      <c r="B393" s="174"/>
      <c r="C393" s="175"/>
    </row>
    <row r="394" spans="2:3" x14ac:dyDescent="0.2">
      <c r="B394" s="174"/>
      <c r="C394" s="175"/>
    </row>
    <row r="395" spans="2:3" x14ac:dyDescent="0.2">
      <c r="B395" s="174"/>
      <c r="C395" s="175"/>
    </row>
    <row r="396" spans="2:3" x14ac:dyDescent="0.2">
      <c r="B396" s="174"/>
      <c r="C396" s="175"/>
    </row>
    <row r="397" spans="2:3" x14ac:dyDescent="0.2">
      <c r="B397" s="174"/>
      <c r="C397" s="175"/>
    </row>
    <row r="398" spans="2:3" x14ac:dyDescent="0.2">
      <c r="B398" s="174"/>
      <c r="C398" s="175"/>
    </row>
    <row r="399" spans="2:3" x14ac:dyDescent="0.2">
      <c r="B399" s="174"/>
      <c r="C399" s="175"/>
    </row>
    <row r="400" spans="2:3" x14ac:dyDescent="0.2">
      <c r="B400" s="174"/>
      <c r="C400" s="175"/>
    </row>
    <row r="401" spans="2:3" x14ac:dyDescent="0.2">
      <c r="B401" s="174"/>
      <c r="C401" s="175"/>
    </row>
    <row r="402" spans="2:3" x14ac:dyDescent="0.2">
      <c r="B402" s="174"/>
      <c r="C402" s="175"/>
    </row>
    <row r="403" spans="2:3" x14ac:dyDescent="0.2">
      <c r="B403" s="174"/>
      <c r="C403" s="175"/>
    </row>
    <row r="404" spans="2:3" x14ac:dyDescent="0.2">
      <c r="B404" s="174"/>
      <c r="C404" s="175"/>
    </row>
    <row r="405" spans="2:3" x14ac:dyDescent="0.2">
      <c r="B405" s="174"/>
      <c r="C405" s="175"/>
    </row>
    <row r="406" spans="2:3" x14ac:dyDescent="0.2">
      <c r="B406" s="174"/>
      <c r="C406" s="175"/>
    </row>
    <row r="407" spans="2:3" x14ac:dyDescent="0.2">
      <c r="B407" s="174"/>
      <c r="C407" s="175"/>
    </row>
    <row r="408" spans="2:3" x14ac:dyDescent="0.2">
      <c r="B408" s="174"/>
      <c r="C408" s="175"/>
    </row>
    <row r="409" spans="2:3" x14ac:dyDescent="0.2">
      <c r="B409" s="174"/>
      <c r="C409" s="175"/>
    </row>
    <row r="410" spans="2:3" x14ac:dyDescent="0.2">
      <c r="B410" s="174"/>
      <c r="C410" s="175"/>
    </row>
    <row r="411" spans="2:3" x14ac:dyDescent="0.2">
      <c r="B411" s="174"/>
      <c r="C411" s="175"/>
    </row>
    <row r="412" spans="2:3" x14ac:dyDescent="0.2">
      <c r="B412" s="174"/>
      <c r="C412" s="175"/>
    </row>
    <row r="413" spans="2:3" x14ac:dyDescent="0.2">
      <c r="B413" s="174"/>
      <c r="C413" s="175"/>
    </row>
    <row r="414" spans="2:3" x14ac:dyDescent="0.2">
      <c r="B414" s="174"/>
      <c r="C414" s="175"/>
    </row>
    <row r="415" spans="2:3" x14ac:dyDescent="0.2">
      <c r="B415" s="174"/>
      <c r="C415" s="175"/>
    </row>
    <row r="416" spans="2:3" x14ac:dyDescent="0.2">
      <c r="B416" s="174"/>
      <c r="C416" s="175"/>
    </row>
    <row r="417" spans="2:3" x14ac:dyDescent="0.2">
      <c r="B417" s="174"/>
      <c r="C417" s="175"/>
    </row>
    <row r="418" spans="2:3" x14ac:dyDescent="0.2">
      <c r="B418" s="174"/>
      <c r="C418" s="175"/>
    </row>
    <row r="419" spans="2:3" x14ac:dyDescent="0.2">
      <c r="B419" s="174"/>
      <c r="C419" s="175"/>
    </row>
    <row r="420" spans="2:3" x14ac:dyDescent="0.2">
      <c r="B420" s="174"/>
      <c r="C420" s="175"/>
    </row>
    <row r="421" spans="2:3" x14ac:dyDescent="0.2">
      <c r="B421" s="174"/>
      <c r="C421" s="175"/>
    </row>
    <row r="422" spans="2:3" x14ac:dyDescent="0.2">
      <c r="B422" s="174"/>
      <c r="C422" s="175"/>
    </row>
    <row r="423" spans="2:3" x14ac:dyDescent="0.2">
      <c r="B423" s="174"/>
      <c r="C423" s="175"/>
    </row>
    <row r="424" spans="2:3" x14ac:dyDescent="0.2">
      <c r="B424" s="174"/>
      <c r="C424" s="175"/>
    </row>
    <row r="425" spans="2:3" x14ac:dyDescent="0.2">
      <c r="B425" s="174"/>
      <c r="C425" s="175"/>
    </row>
    <row r="426" spans="2:3" x14ac:dyDescent="0.2">
      <c r="B426" s="174"/>
      <c r="C426" s="175"/>
    </row>
    <row r="427" spans="2:3" x14ac:dyDescent="0.2">
      <c r="B427" s="174"/>
      <c r="C427" s="175"/>
    </row>
    <row r="428" spans="2:3" x14ac:dyDescent="0.2">
      <c r="B428" s="174"/>
      <c r="C428" s="175"/>
    </row>
    <row r="429" spans="2:3" x14ac:dyDescent="0.2">
      <c r="B429" s="174"/>
      <c r="C429" s="175"/>
    </row>
    <row r="430" spans="2:3" x14ac:dyDescent="0.2">
      <c r="B430" s="174"/>
      <c r="C430" s="175"/>
    </row>
    <row r="431" spans="2:3" x14ac:dyDescent="0.2">
      <c r="B431" s="174"/>
      <c r="C431" s="175"/>
    </row>
    <row r="432" spans="2:3" x14ac:dyDescent="0.2">
      <c r="B432" s="174"/>
      <c r="C432" s="175"/>
    </row>
    <row r="433" spans="2:3" x14ac:dyDescent="0.2">
      <c r="B433" s="174"/>
      <c r="C433" s="175"/>
    </row>
    <row r="434" spans="2:3" x14ac:dyDescent="0.2">
      <c r="B434" s="174"/>
      <c r="C434" s="175"/>
    </row>
    <row r="435" spans="2:3" x14ac:dyDescent="0.2">
      <c r="B435" s="174"/>
      <c r="C435" s="175"/>
    </row>
    <row r="436" spans="2:3" x14ac:dyDescent="0.2">
      <c r="B436" s="174"/>
      <c r="C436" s="175"/>
    </row>
    <row r="437" spans="2:3" x14ac:dyDescent="0.2">
      <c r="B437" s="174"/>
      <c r="C437" s="175"/>
    </row>
    <row r="438" spans="2:3" x14ac:dyDescent="0.2">
      <c r="B438" s="174"/>
      <c r="C438" s="175"/>
    </row>
    <row r="439" spans="2:3" x14ac:dyDescent="0.2">
      <c r="B439" s="174"/>
      <c r="C439" s="175"/>
    </row>
    <row r="440" spans="2:3" x14ac:dyDescent="0.2">
      <c r="B440" s="174"/>
      <c r="C440" s="175"/>
    </row>
    <row r="441" spans="2:3" x14ac:dyDescent="0.2">
      <c r="B441" s="174"/>
      <c r="C441" s="175"/>
    </row>
    <row r="442" spans="2:3" x14ac:dyDescent="0.2">
      <c r="B442" s="174"/>
      <c r="C442" s="175"/>
    </row>
    <row r="443" spans="2:3" x14ac:dyDescent="0.2">
      <c r="B443" s="174"/>
      <c r="C443" s="175"/>
    </row>
    <row r="444" spans="2:3" x14ac:dyDescent="0.2">
      <c r="B444" s="174"/>
      <c r="C444" s="175"/>
    </row>
    <row r="445" spans="2:3" x14ac:dyDescent="0.2">
      <c r="B445" s="174"/>
      <c r="C445" s="175"/>
    </row>
    <row r="446" spans="2:3" x14ac:dyDescent="0.2">
      <c r="B446" s="174"/>
      <c r="C446" s="175"/>
    </row>
    <row r="447" spans="2:3" x14ac:dyDescent="0.2">
      <c r="B447" s="174"/>
      <c r="C447" s="175"/>
    </row>
    <row r="448" spans="2:3" x14ac:dyDescent="0.2">
      <c r="B448" s="174"/>
      <c r="C448" s="175"/>
    </row>
    <row r="449" spans="2:3" x14ac:dyDescent="0.2">
      <c r="B449" s="174"/>
      <c r="C449" s="175"/>
    </row>
    <row r="450" spans="2:3" x14ac:dyDescent="0.2">
      <c r="B450" s="174"/>
      <c r="C450" s="175"/>
    </row>
    <row r="451" spans="2:3" x14ac:dyDescent="0.2">
      <c r="B451" s="174"/>
      <c r="C451" s="175"/>
    </row>
    <row r="452" spans="2:3" x14ac:dyDescent="0.2">
      <c r="B452" s="174"/>
      <c r="C452" s="175"/>
    </row>
    <row r="453" spans="2:3" x14ac:dyDescent="0.2">
      <c r="B453" s="174"/>
      <c r="C453" s="175"/>
    </row>
    <row r="454" spans="2:3" x14ac:dyDescent="0.2">
      <c r="B454" s="174"/>
      <c r="C454" s="175"/>
    </row>
    <row r="455" spans="2:3" x14ac:dyDescent="0.2">
      <c r="B455" s="174"/>
      <c r="C455" s="175"/>
    </row>
    <row r="456" spans="2:3" x14ac:dyDescent="0.2">
      <c r="B456" s="174"/>
      <c r="C456" s="175"/>
    </row>
    <row r="457" spans="2:3" x14ac:dyDescent="0.2">
      <c r="B457" s="174"/>
      <c r="C457" s="175"/>
    </row>
    <row r="458" spans="2:3" x14ac:dyDescent="0.2">
      <c r="B458" s="174"/>
      <c r="C458" s="175"/>
    </row>
    <row r="459" spans="2:3" x14ac:dyDescent="0.2">
      <c r="B459" s="174"/>
      <c r="C459" s="175"/>
    </row>
    <row r="460" spans="2:3" x14ac:dyDescent="0.2">
      <c r="B460" s="174"/>
      <c r="C460" s="175"/>
    </row>
    <row r="461" spans="2:3" x14ac:dyDescent="0.2">
      <c r="B461" s="174"/>
      <c r="C461" s="175"/>
    </row>
    <row r="462" spans="2:3" x14ac:dyDescent="0.2">
      <c r="B462" s="174"/>
      <c r="C462" s="175"/>
    </row>
    <row r="463" spans="2:3" x14ac:dyDescent="0.2">
      <c r="B463" s="174"/>
      <c r="C463" s="175"/>
    </row>
    <row r="464" spans="2:3" x14ac:dyDescent="0.2">
      <c r="B464" s="174"/>
      <c r="C464" s="175"/>
    </row>
    <row r="465" spans="2:3" x14ac:dyDescent="0.2">
      <c r="B465" s="174"/>
      <c r="C465" s="175"/>
    </row>
    <row r="466" spans="2:3" x14ac:dyDescent="0.2">
      <c r="B466" s="174"/>
      <c r="C466" s="175"/>
    </row>
    <row r="467" spans="2:3" x14ac:dyDescent="0.2">
      <c r="B467" s="174"/>
      <c r="C467" s="175"/>
    </row>
    <row r="468" spans="2:3" x14ac:dyDescent="0.2">
      <c r="B468" s="174"/>
      <c r="C468" s="175"/>
    </row>
    <row r="469" spans="2:3" x14ac:dyDescent="0.2">
      <c r="B469" s="174"/>
      <c r="C469" s="175"/>
    </row>
    <row r="470" spans="2:3" x14ac:dyDescent="0.2">
      <c r="B470" s="174"/>
      <c r="C470" s="175"/>
    </row>
    <row r="471" spans="2:3" x14ac:dyDescent="0.2">
      <c r="B471" s="174"/>
      <c r="C471" s="175"/>
    </row>
    <row r="472" spans="2:3" x14ac:dyDescent="0.2">
      <c r="B472" s="174"/>
      <c r="C472" s="175"/>
    </row>
    <row r="473" spans="2:3" x14ac:dyDescent="0.2">
      <c r="B473" s="174"/>
      <c r="C473" s="175"/>
    </row>
    <row r="474" spans="2:3" x14ac:dyDescent="0.2">
      <c r="B474" s="174"/>
      <c r="C474" s="175"/>
    </row>
    <row r="475" spans="2:3" x14ac:dyDescent="0.2">
      <c r="B475" s="174"/>
      <c r="C475" s="175"/>
    </row>
    <row r="476" spans="2:3" x14ac:dyDescent="0.2">
      <c r="B476" s="174"/>
      <c r="C476" s="175"/>
    </row>
    <row r="477" spans="2:3" x14ac:dyDescent="0.2">
      <c r="B477" s="174"/>
      <c r="C477" s="175"/>
    </row>
    <row r="478" spans="2:3" x14ac:dyDescent="0.2">
      <c r="B478" s="174"/>
      <c r="C478" s="175"/>
    </row>
    <row r="479" spans="2:3" x14ac:dyDescent="0.2">
      <c r="B479" s="174"/>
      <c r="C479" s="175"/>
    </row>
    <row r="480" spans="2:3" x14ac:dyDescent="0.2">
      <c r="B480" s="174"/>
      <c r="C480" s="175"/>
    </row>
    <row r="481" spans="2:3" x14ac:dyDescent="0.2">
      <c r="B481" s="174"/>
      <c r="C481" s="175"/>
    </row>
    <row r="482" spans="2:3" x14ac:dyDescent="0.2">
      <c r="B482" s="174"/>
      <c r="C482" s="175"/>
    </row>
    <row r="483" spans="2:3" x14ac:dyDescent="0.2">
      <c r="B483" s="174"/>
      <c r="C483" s="175"/>
    </row>
    <row r="484" spans="2:3" x14ac:dyDescent="0.2">
      <c r="B484" s="174"/>
      <c r="C484" s="175"/>
    </row>
    <row r="485" spans="2:3" x14ac:dyDescent="0.2">
      <c r="B485" s="174"/>
      <c r="C485" s="175"/>
    </row>
    <row r="486" spans="2:3" x14ac:dyDescent="0.2">
      <c r="B486" s="174"/>
      <c r="C486" s="175"/>
    </row>
    <row r="487" spans="2:3" x14ac:dyDescent="0.2">
      <c r="B487" s="174"/>
      <c r="C487" s="175"/>
    </row>
    <row r="488" spans="2:3" x14ac:dyDescent="0.2">
      <c r="B488" s="174"/>
      <c r="C488" s="175"/>
    </row>
    <row r="489" spans="2:3" x14ac:dyDescent="0.2">
      <c r="B489" s="174"/>
      <c r="C489" s="175"/>
    </row>
    <row r="490" spans="2:3" x14ac:dyDescent="0.2">
      <c r="B490" s="174"/>
      <c r="C490" s="175"/>
    </row>
    <row r="491" spans="2:3" x14ac:dyDescent="0.2">
      <c r="B491" s="174"/>
      <c r="C491" s="175"/>
    </row>
    <row r="492" spans="2:3" x14ac:dyDescent="0.2">
      <c r="B492" s="174"/>
      <c r="C492" s="175"/>
    </row>
    <row r="493" spans="2:3" x14ac:dyDescent="0.2">
      <c r="B493" s="174"/>
      <c r="C493" s="175"/>
    </row>
    <row r="494" spans="2:3" x14ac:dyDescent="0.2">
      <c r="B494" s="174"/>
      <c r="C494" s="175"/>
    </row>
    <row r="495" spans="2:3" x14ac:dyDescent="0.2">
      <c r="B495" s="174"/>
      <c r="C495" s="175"/>
    </row>
    <row r="496" spans="2:3" x14ac:dyDescent="0.2">
      <c r="B496" s="174"/>
      <c r="C496" s="175"/>
    </row>
    <row r="497" spans="2:3" x14ac:dyDescent="0.2">
      <c r="B497" s="174"/>
      <c r="C497" s="175"/>
    </row>
    <row r="498" spans="2:3" x14ac:dyDescent="0.2">
      <c r="B498" s="174"/>
      <c r="C498" s="175"/>
    </row>
    <row r="499" spans="2:3" x14ac:dyDescent="0.2">
      <c r="B499" s="174"/>
      <c r="C499" s="175"/>
    </row>
    <row r="500" spans="2:3" x14ac:dyDescent="0.2">
      <c r="B500" s="174"/>
      <c r="C500" s="175"/>
    </row>
    <row r="501" spans="2:3" x14ac:dyDescent="0.2">
      <c r="B501" s="174"/>
      <c r="C501" s="175"/>
    </row>
    <row r="502" spans="2:3" x14ac:dyDescent="0.2">
      <c r="B502" s="174"/>
      <c r="C502" s="175"/>
    </row>
    <row r="503" spans="2:3" x14ac:dyDescent="0.2">
      <c r="B503" s="174"/>
      <c r="C503" s="175"/>
    </row>
    <row r="504" spans="2:3" x14ac:dyDescent="0.2">
      <c r="B504" s="174"/>
      <c r="C504" s="175"/>
    </row>
    <row r="505" spans="2:3" x14ac:dyDescent="0.2">
      <c r="B505" s="174"/>
      <c r="C505" s="175"/>
    </row>
    <row r="506" spans="2:3" x14ac:dyDescent="0.2">
      <c r="B506" s="174"/>
      <c r="C506" s="175"/>
    </row>
    <row r="507" spans="2:3" x14ac:dyDescent="0.2">
      <c r="B507" s="174"/>
      <c r="C507" s="175"/>
    </row>
    <row r="508" spans="2:3" x14ac:dyDescent="0.2">
      <c r="B508" s="174"/>
      <c r="C508" s="175"/>
    </row>
    <row r="509" spans="2:3" x14ac:dyDescent="0.2">
      <c r="B509" s="174"/>
      <c r="C509" s="175"/>
    </row>
    <row r="510" spans="2:3" x14ac:dyDescent="0.2">
      <c r="B510" s="174"/>
      <c r="C510" s="175"/>
    </row>
    <row r="511" spans="2:3" x14ac:dyDescent="0.2">
      <c r="B511" s="174"/>
      <c r="C511" s="175"/>
    </row>
    <row r="512" spans="2:3" x14ac:dyDescent="0.2">
      <c r="B512" s="174"/>
      <c r="C512" s="175"/>
    </row>
    <row r="513" spans="2:3" x14ac:dyDescent="0.2">
      <c r="B513" s="174"/>
      <c r="C513" s="175"/>
    </row>
    <row r="514" spans="2:3" x14ac:dyDescent="0.2">
      <c r="B514" s="174"/>
      <c r="C514" s="175"/>
    </row>
    <row r="515" spans="2:3" x14ac:dyDescent="0.2">
      <c r="B515" s="174"/>
      <c r="C515" s="175"/>
    </row>
    <row r="516" spans="2:3" x14ac:dyDescent="0.2">
      <c r="B516" s="174"/>
      <c r="C516" s="175"/>
    </row>
    <row r="517" spans="2:3" x14ac:dyDescent="0.2">
      <c r="B517" s="174"/>
      <c r="C517" s="175"/>
    </row>
    <row r="518" spans="2:3" x14ac:dyDescent="0.2">
      <c r="B518" s="174"/>
      <c r="C518" s="175"/>
    </row>
    <row r="519" spans="2:3" x14ac:dyDescent="0.2">
      <c r="B519" s="174"/>
      <c r="C519" s="175"/>
    </row>
    <row r="520" spans="2:3" x14ac:dyDescent="0.2">
      <c r="B520" s="174"/>
      <c r="C520" s="175"/>
    </row>
    <row r="521" spans="2:3" x14ac:dyDescent="0.2">
      <c r="B521" s="174"/>
      <c r="C521" s="175"/>
    </row>
    <row r="522" spans="2:3" x14ac:dyDescent="0.2">
      <c r="B522" s="174"/>
      <c r="C522" s="175"/>
    </row>
    <row r="523" spans="2:3" x14ac:dyDescent="0.2">
      <c r="B523" s="174"/>
      <c r="C523" s="175"/>
    </row>
    <row r="524" spans="2:3" x14ac:dyDescent="0.2">
      <c r="B524" s="174"/>
      <c r="C524" s="175"/>
    </row>
    <row r="525" spans="2:3" x14ac:dyDescent="0.2">
      <c r="B525" s="174"/>
      <c r="C525" s="175"/>
    </row>
    <row r="526" spans="2:3" x14ac:dyDescent="0.2">
      <c r="B526" s="174"/>
      <c r="C526" s="175"/>
    </row>
    <row r="527" spans="2:3" x14ac:dyDescent="0.2">
      <c r="B527" s="174"/>
      <c r="C527" s="175"/>
    </row>
    <row r="528" spans="2:3" x14ac:dyDescent="0.2">
      <c r="B528" s="174"/>
      <c r="C528" s="175"/>
    </row>
    <row r="529" spans="2:3" x14ac:dyDescent="0.2">
      <c r="B529" s="174"/>
      <c r="C529" s="175"/>
    </row>
    <row r="530" spans="2:3" x14ac:dyDescent="0.2">
      <c r="B530" s="174"/>
      <c r="C530" s="175"/>
    </row>
    <row r="531" spans="2:3" x14ac:dyDescent="0.2">
      <c r="B531" s="174"/>
      <c r="C531" s="175"/>
    </row>
    <row r="532" spans="2:3" x14ac:dyDescent="0.2">
      <c r="B532" s="174"/>
      <c r="C532" s="175"/>
    </row>
    <row r="533" spans="2:3" x14ac:dyDescent="0.2">
      <c r="B533" s="174"/>
      <c r="C533" s="175"/>
    </row>
    <row r="534" spans="2:3" x14ac:dyDescent="0.2">
      <c r="B534" s="174"/>
      <c r="C534" s="175"/>
    </row>
    <row r="535" spans="2:3" x14ac:dyDescent="0.2">
      <c r="B535" s="174"/>
      <c r="C535" s="175"/>
    </row>
    <row r="536" spans="2:3" x14ac:dyDescent="0.2">
      <c r="B536" s="174"/>
      <c r="C536" s="175"/>
    </row>
    <row r="537" spans="2:3" x14ac:dyDescent="0.2">
      <c r="B537" s="174"/>
      <c r="C537" s="175"/>
    </row>
    <row r="538" spans="2:3" x14ac:dyDescent="0.2">
      <c r="B538" s="174"/>
      <c r="C538" s="175"/>
    </row>
    <row r="539" spans="2:3" x14ac:dyDescent="0.2">
      <c r="B539" s="174"/>
      <c r="C539" s="175"/>
    </row>
    <row r="540" spans="2:3" x14ac:dyDescent="0.2">
      <c r="B540" s="174"/>
      <c r="C540" s="175"/>
    </row>
    <row r="541" spans="2:3" x14ac:dyDescent="0.2">
      <c r="B541" s="174"/>
      <c r="C541" s="175"/>
    </row>
    <row r="542" spans="2:3" x14ac:dyDescent="0.2">
      <c r="B542" s="174"/>
      <c r="C542" s="175"/>
    </row>
    <row r="543" spans="2:3" x14ac:dyDescent="0.2">
      <c r="B543" s="174"/>
      <c r="C543" s="175"/>
    </row>
    <row r="544" spans="2:3" x14ac:dyDescent="0.2">
      <c r="B544" s="174"/>
      <c r="C544" s="175"/>
    </row>
    <row r="545" spans="2:3" x14ac:dyDescent="0.2">
      <c r="B545" s="174"/>
      <c r="C545" s="175"/>
    </row>
    <row r="546" spans="2:3" x14ac:dyDescent="0.2">
      <c r="B546" s="174"/>
      <c r="C546" s="175"/>
    </row>
    <row r="547" spans="2:3" x14ac:dyDescent="0.2">
      <c r="B547" s="174"/>
      <c r="C547" s="175"/>
    </row>
    <row r="548" spans="2:3" x14ac:dyDescent="0.2">
      <c r="B548" s="174"/>
      <c r="C548" s="175"/>
    </row>
    <row r="549" spans="2:3" x14ac:dyDescent="0.2">
      <c r="B549" s="174"/>
      <c r="C549" s="175"/>
    </row>
    <row r="550" spans="2:3" x14ac:dyDescent="0.2">
      <c r="B550" s="174"/>
      <c r="C550" s="175"/>
    </row>
    <row r="551" spans="2:3" x14ac:dyDescent="0.2">
      <c r="B551" s="174"/>
      <c r="C551" s="175"/>
    </row>
    <row r="552" spans="2:3" x14ac:dyDescent="0.2">
      <c r="B552" s="174"/>
      <c r="C552" s="175"/>
    </row>
    <row r="553" spans="2:3" x14ac:dyDescent="0.2">
      <c r="B553" s="174"/>
      <c r="C553" s="175"/>
    </row>
    <row r="554" spans="2:3" x14ac:dyDescent="0.2">
      <c r="B554" s="174"/>
      <c r="C554" s="175"/>
    </row>
    <row r="555" spans="2:3" x14ac:dyDescent="0.2">
      <c r="B555" s="174"/>
      <c r="C555" s="175"/>
    </row>
    <row r="556" spans="2:3" x14ac:dyDescent="0.2">
      <c r="B556" s="174"/>
      <c r="C556" s="175"/>
    </row>
    <row r="557" spans="2:3" x14ac:dyDescent="0.2">
      <c r="B557" s="174"/>
      <c r="C557" s="175"/>
    </row>
    <row r="558" spans="2:3" x14ac:dyDescent="0.2">
      <c r="B558" s="174"/>
      <c r="C558" s="175"/>
    </row>
    <row r="559" spans="2:3" x14ac:dyDescent="0.2">
      <c r="B559" s="174"/>
      <c r="C559" s="175"/>
    </row>
    <row r="560" spans="2:3" x14ac:dyDescent="0.2">
      <c r="B560" s="174"/>
      <c r="C560" s="175"/>
    </row>
    <row r="561" spans="2:3" x14ac:dyDescent="0.2">
      <c r="B561" s="174"/>
      <c r="C561" s="175"/>
    </row>
    <row r="562" spans="2:3" x14ac:dyDescent="0.2">
      <c r="B562" s="174"/>
      <c r="C562" s="175"/>
    </row>
    <row r="563" spans="2:3" x14ac:dyDescent="0.2">
      <c r="B563" s="174"/>
      <c r="C563" s="175"/>
    </row>
    <row r="564" spans="2:3" x14ac:dyDescent="0.2">
      <c r="B564" s="174"/>
      <c r="C564" s="175"/>
    </row>
    <row r="565" spans="2:3" x14ac:dyDescent="0.2">
      <c r="B565" s="174"/>
      <c r="C565" s="175"/>
    </row>
    <row r="566" spans="2:3" x14ac:dyDescent="0.2">
      <c r="B566" s="174"/>
      <c r="C566" s="175"/>
    </row>
    <row r="567" spans="2:3" x14ac:dyDescent="0.2">
      <c r="B567" s="174"/>
      <c r="C567" s="175"/>
    </row>
    <row r="568" spans="2:3" x14ac:dyDescent="0.2">
      <c r="B568" s="174"/>
      <c r="C568" s="175"/>
    </row>
    <row r="569" spans="2:3" x14ac:dyDescent="0.2">
      <c r="B569" s="174"/>
      <c r="C569" s="175"/>
    </row>
    <row r="570" spans="2:3" x14ac:dyDescent="0.2">
      <c r="B570" s="174"/>
      <c r="C570" s="175"/>
    </row>
    <row r="571" spans="2:3" x14ac:dyDescent="0.2">
      <c r="B571" s="174"/>
      <c r="C571" s="175"/>
    </row>
    <row r="572" spans="2:3" x14ac:dyDescent="0.2">
      <c r="B572" s="174"/>
      <c r="C572" s="175"/>
    </row>
    <row r="573" spans="2:3" x14ac:dyDescent="0.2">
      <c r="B573" s="174"/>
      <c r="C573" s="175"/>
    </row>
    <row r="574" spans="2:3" x14ac:dyDescent="0.2">
      <c r="B574" s="174"/>
      <c r="C574" s="175"/>
    </row>
    <row r="575" spans="2:3" x14ac:dyDescent="0.2">
      <c r="B575" s="174"/>
      <c r="C575" s="175"/>
    </row>
    <row r="576" spans="2:3" x14ac:dyDescent="0.2">
      <c r="B576" s="174"/>
      <c r="C576" s="175"/>
    </row>
    <row r="577" spans="2:3" x14ac:dyDescent="0.2">
      <c r="B577" s="174"/>
      <c r="C577" s="175"/>
    </row>
    <row r="578" spans="2:3" x14ac:dyDescent="0.2">
      <c r="B578" s="174"/>
      <c r="C578" s="175"/>
    </row>
    <row r="579" spans="2:3" x14ac:dyDescent="0.2">
      <c r="B579" s="174"/>
      <c r="C579" s="175"/>
    </row>
    <row r="580" spans="2:3" x14ac:dyDescent="0.2">
      <c r="B580" s="174"/>
      <c r="C580" s="175"/>
    </row>
    <row r="581" spans="2:3" x14ac:dyDescent="0.2">
      <c r="B581" s="174"/>
      <c r="C581" s="175"/>
    </row>
    <row r="582" spans="2:3" x14ac:dyDescent="0.2">
      <c r="B582" s="174"/>
      <c r="C582" s="175"/>
    </row>
    <row r="583" spans="2:3" x14ac:dyDescent="0.2">
      <c r="B583" s="174"/>
      <c r="C583" s="175"/>
    </row>
    <row r="584" spans="2:3" x14ac:dyDescent="0.2">
      <c r="B584" s="174"/>
      <c r="C584" s="175"/>
    </row>
    <row r="585" spans="2:3" x14ac:dyDescent="0.2">
      <c r="B585" s="174"/>
      <c r="C585" s="175"/>
    </row>
    <row r="586" spans="2:3" x14ac:dyDescent="0.2">
      <c r="B586" s="174"/>
      <c r="C586" s="175"/>
    </row>
    <row r="587" spans="2:3" x14ac:dyDescent="0.2">
      <c r="B587" s="174"/>
      <c r="C587" s="175"/>
    </row>
    <row r="588" spans="2:3" x14ac:dyDescent="0.2">
      <c r="B588" s="174"/>
      <c r="C588" s="175"/>
    </row>
    <row r="589" spans="2:3" x14ac:dyDescent="0.2">
      <c r="B589" s="174"/>
      <c r="C589" s="175"/>
    </row>
    <row r="590" spans="2:3" x14ac:dyDescent="0.2">
      <c r="B590" s="174"/>
      <c r="C590" s="175"/>
    </row>
    <row r="591" spans="2:3" x14ac:dyDescent="0.2">
      <c r="B591" s="174"/>
      <c r="C591" s="175"/>
    </row>
    <row r="592" spans="2:3" x14ac:dyDescent="0.2">
      <c r="B592" s="174"/>
      <c r="C592" s="175"/>
    </row>
    <row r="593" spans="2:3" x14ac:dyDescent="0.2">
      <c r="B593" s="174"/>
      <c r="C593" s="175"/>
    </row>
    <row r="594" spans="2:3" x14ac:dyDescent="0.2">
      <c r="B594" s="174"/>
      <c r="C594" s="175"/>
    </row>
    <row r="595" spans="2:3" x14ac:dyDescent="0.2">
      <c r="B595" s="174"/>
      <c r="C595" s="175"/>
    </row>
    <row r="596" spans="2:3" x14ac:dyDescent="0.2">
      <c r="B596" s="174"/>
      <c r="C596" s="175"/>
    </row>
    <row r="597" spans="2:3" x14ac:dyDescent="0.2">
      <c r="B597" s="174"/>
      <c r="C597" s="175"/>
    </row>
    <row r="598" spans="2:3" x14ac:dyDescent="0.2">
      <c r="B598" s="174"/>
      <c r="C598" s="175"/>
    </row>
    <row r="599" spans="2:3" x14ac:dyDescent="0.2">
      <c r="B599" s="174"/>
      <c r="C599" s="175"/>
    </row>
    <row r="600" spans="2:3" x14ac:dyDescent="0.2">
      <c r="B600" s="174"/>
      <c r="C600" s="175"/>
    </row>
    <row r="601" spans="2:3" x14ac:dyDescent="0.2">
      <c r="B601" s="174"/>
      <c r="C601" s="175"/>
    </row>
    <row r="602" spans="2:3" x14ac:dyDescent="0.2">
      <c r="B602" s="174"/>
      <c r="C602" s="175"/>
    </row>
    <row r="603" spans="2:3" x14ac:dyDescent="0.2">
      <c r="B603" s="174"/>
      <c r="C603" s="175"/>
    </row>
    <row r="604" spans="2:3" x14ac:dyDescent="0.2">
      <c r="B604" s="173"/>
    </row>
  </sheetData>
  <sheetProtection formatCells="0" formatColumns="0" formatRows="0" insertColumns="0" insertRows="0" insertHyperlinks="0" deleteColumns="0" deleteRows="0"/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13"/>
  <sheetViews>
    <sheetView rightToLeft="1" workbookViewId="0">
      <selection activeCell="D9" sqref="D9"/>
    </sheetView>
  </sheetViews>
  <sheetFormatPr defaultRowHeight="15" x14ac:dyDescent="0.25"/>
  <cols>
    <col min="1" max="1" width="9" style="23" bestFit="1" customWidth="1"/>
  </cols>
  <sheetData>
    <row r="1" spans="1:1" ht="18.75" x14ac:dyDescent="0.3">
      <c r="A1" s="24" t="s">
        <v>79</v>
      </c>
    </row>
    <row r="2" spans="1:1" ht="18.75" x14ac:dyDescent="0.3">
      <c r="A2" s="15" t="s">
        <v>327</v>
      </c>
    </row>
    <row r="3" spans="1:1" ht="18.75" x14ac:dyDescent="0.3">
      <c r="A3" s="15" t="s">
        <v>328</v>
      </c>
    </row>
    <row r="4" spans="1:1" ht="18.75" x14ac:dyDescent="0.3">
      <c r="A4" s="15" t="s">
        <v>329</v>
      </c>
    </row>
    <row r="5" spans="1:1" ht="18.75" x14ac:dyDescent="0.3">
      <c r="A5" s="15" t="s">
        <v>330</v>
      </c>
    </row>
    <row r="6" spans="1:1" ht="18.75" x14ac:dyDescent="0.3">
      <c r="A6" s="15" t="s">
        <v>84</v>
      </c>
    </row>
    <row r="7" spans="1:1" ht="18.75" x14ac:dyDescent="0.3">
      <c r="A7" s="15" t="s">
        <v>331</v>
      </c>
    </row>
    <row r="8" spans="1:1" ht="18.75" x14ac:dyDescent="0.3">
      <c r="A8" s="15" t="s">
        <v>332</v>
      </c>
    </row>
    <row r="9" spans="1:1" ht="18.75" x14ac:dyDescent="0.3">
      <c r="A9" s="15" t="s">
        <v>333</v>
      </c>
    </row>
    <row r="10" spans="1:1" ht="18.75" x14ac:dyDescent="0.3">
      <c r="A10" s="15" t="s">
        <v>334</v>
      </c>
    </row>
    <row r="11" spans="1:1" ht="18.75" x14ac:dyDescent="0.3">
      <c r="A11" s="15" t="s">
        <v>335</v>
      </c>
    </row>
    <row r="12" spans="1:1" ht="18.75" x14ac:dyDescent="0.3">
      <c r="A12" s="15" t="s">
        <v>336</v>
      </c>
    </row>
    <row r="13" spans="1:1" ht="18.75" x14ac:dyDescent="0.3">
      <c r="A13" s="15" t="s">
        <v>337</v>
      </c>
    </row>
  </sheetData>
  <sheetProtection algorithmName="SHA-512" hashValue="OUyrVT2x1ibB3gT7+2X2/TN2LG39KhgJ+TfDvz3JWx0erPaBsyMYQFUPwz2pHG/iwoSJpPzZMWnUOTqwEeYFdQ==" saltValue="qqD4T+e8cpjColAha0NR6A==" spinCount="100000" sheet="1" formatCells="0" formatColumns="0" formatRows="0" insertColumns="0" insertRows="0" insertHyperlinks="0" deleteColumns="0" deleteRows="0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71D0-3862-4075-9002-63118D47C486}">
  <sheetPr codeName="Sheet4"/>
  <dimension ref="A1:I47"/>
  <sheetViews>
    <sheetView rightToLeft="1" workbookViewId="0">
      <selection activeCell="A12" sqref="A12"/>
    </sheetView>
  </sheetViews>
  <sheetFormatPr defaultRowHeight="18.75" x14ac:dyDescent="0.3"/>
  <cols>
    <col min="1" max="1" width="91.28515625" style="7" bestFit="1" customWidth="1"/>
    <col min="2" max="2" width="33.5703125" style="1" bestFit="1" customWidth="1"/>
    <col min="3" max="3" width="18.42578125" style="1" bestFit="1" customWidth="1"/>
    <col min="4" max="4" width="9.140625" style="1"/>
    <col min="5" max="5" width="31.140625" style="1" customWidth="1"/>
    <col min="6" max="6" width="13.7109375" style="1" customWidth="1"/>
    <col min="7" max="7" width="10.140625" style="1" customWidth="1"/>
    <col min="8" max="8" width="11.140625" style="1" customWidth="1"/>
    <col min="9" max="9" width="14.42578125" style="1" customWidth="1"/>
    <col min="10" max="10" width="9.42578125" style="1" customWidth="1"/>
    <col min="11" max="16384" width="9.140625" style="1"/>
  </cols>
  <sheetData>
    <row r="1" spans="1:9" x14ac:dyDescent="0.3">
      <c r="A1" s="26" t="s">
        <v>105</v>
      </c>
      <c r="B1" s="27">
        <v>2025</v>
      </c>
      <c r="C1" s="25"/>
      <c r="E1" s="1" t="s">
        <v>106</v>
      </c>
    </row>
    <row r="2" spans="1:9" x14ac:dyDescent="0.3">
      <c r="A2" s="26" t="s">
        <v>96</v>
      </c>
      <c r="B2" s="27" t="s">
        <v>36</v>
      </c>
      <c r="C2" s="25"/>
      <c r="E2" s="1">
        <v>2025</v>
      </c>
      <c r="I2" s="1">
        <v>2025</v>
      </c>
    </row>
    <row r="3" spans="1:9" x14ac:dyDescent="0.3">
      <c r="A3" s="26" t="s">
        <v>97</v>
      </c>
      <c r="B3" s="27" t="s">
        <v>328</v>
      </c>
      <c r="C3" s="25"/>
      <c r="I3" s="1">
        <v>2026</v>
      </c>
    </row>
    <row r="4" spans="1:9" x14ac:dyDescent="0.3">
      <c r="A4" s="26" t="s">
        <v>98</v>
      </c>
      <c r="B4" s="27" t="s">
        <v>149</v>
      </c>
      <c r="C4" s="25"/>
    </row>
    <row r="5" spans="1:9" x14ac:dyDescent="0.3">
      <c r="A5" s="26" t="s">
        <v>139</v>
      </c>
      <c r="B5" s="27" t="s">
        <v>144</v>
      </c>
      <c r="C5" s="25"/>
      <c r="I5" s="1">
        <v>2027</v>
      </c>
    </row>
    <row r="6" spans="1:9" x14ac:dyDescent="0.3">
      <c r="A6" s="26" t="s">
        <v>99</v>
      </c>
      <c r="B6" s="27" t="str">
        <f>_xlfn.XLOOKUP(B2, EMPLOYEES!A:A, EMPLOYEES!B:B)</f>
        <v>منسق موارد بشرية</v>
      </c>
      <c r="C6" s="25"/>
    </row>
    <row r="7" spans="1:9" ht="19.5" thickBot="1" x14ac:dyDescent="0.35">
      <c r="B7" s="1" t="str">
        <f ca="1">IF(B7="","",
IF(B7&lt;60,"Weak",
IF(B7&lt;70,"Acceptable",
IF(B7&lt;85,"Good","Very Good"))))</f>
        <v>Very Good</v>
      </c>
      <c r="C7" s="56" t="s">
        <v>152</v>
      </c>
    </row>
    <row r="8" spans="1:9" x14ac:dyDescent="0.3">
      <c r="A8" s="57" t="s">
        <v>93</v>
      </c>
      <c r="B8" s="58" t="s">
        <v>78</v>
      </c>
      <c r="C8" s="59" t="s">
        <v>92</v>
      </c>
    </row>
    <row r="9" spans="1:9" x14ac:dyDescent="0.3">
      <c r="A9" s="89" t="str" cm="1">
        <f t="array" ref="A9:A18">_xlfn._xlws.FILTER(KPIs!B:B, KPIs!A:A = B6)</f>
        <v>معرفة وتطبيق اللوائح والقوانين (قانون العمل والضمان)</v>
      </c>
      <c r="B9" s="60" cm="1">
        <f t="array" ref="B9:B18">_xlfn.XLOOKUP(_xlfn.ANCHORARRAY(A9), KPIs!B:B, KPIs!C:C)</f>
        <v>10</v>
      </c>
      <c r="C9" s="61"/>
    </row>
    <row r="10" spans="1:9" x14ac:dyDescent="0.3">
      <c r="A10" s="89" t="str">
        <v>إدارة وتنظيم الملفات والسجلات وسهولة الرجوع إليها</v>
      </c>
      <c r="B10" s="60">
        <v>9</v>
      </c>
      <c r="C10" s="61"/>
    </row>
    <row r="11" spans="1:9" x14ac:dyDescent="0.3">
      <c r="A11" s="89" t="str">
        <v>السرعة والدقة والإنتاجية في إنجاز العمل</v>
      </c>
      <c r="B11" s="60">
        <v>9</v>
      </c>
      <c r="C11" s="61"/>
    </row>
    <row r="12" spans="1:9" x14ac:dyDescent="0.3">
      <c r="A12" s="89" t="str">
        <v>التحليل وإعداد التقارير بدقة واحترافية</v>
      </c>
      <c r="B12" s="60">
        <v>8</v>
      </c>
      <c r="C12" s="61"/>
    </row>
    <row r="13" spans="1:9" x14ac:dyDescent="0.3">
      <c r="A13" s="89" t="str">
        <v>الالتزام بأخلاقيات العمل والحياد والمسؤولية</v>
      </c>
      <c r="B13" s="60">
        <v>8</v>
      </c>
      <c r="C13" s="61"/>
    </row>
    <row r="14" spans="1:9" x14ac:dyDescent="0.3">
      <c r="A14" s="89" t="str">
        <v>الالتزام بمتطلبات السلامة العامة داخل بيئة العمل</v>
      </c>
      <c r="B14" s="60">
        <v>7</v>
      </c>
      <c r="C14" s="61"/>
    </row>
    <row r="15" spans="1:9" x14ac:dyDescent="0.3">
      <c r="A15" s="89" t="str">
        <v>المبادرة واقتراح التحسينات وحل المشكلات</v>
      </c>
      <c r="B15" s="60">
        <v>8</v>
      </c>
      <c r="C15" s="61"/>
    </row>
    <row r="16" spans="1:9" x14ac:dyDescent="0.3">
      <c r="A16" s="89" t="str">
        <v>التواصل الفعّال والتعامل المهني (رؤساء، زملاء، عملاء، موظفين جدد)</v>
      </c>
      <c r="B16" s="60">
        <v>7</v>
      </c>
      <c r="C16" s="61"/>
    </row>
    <row r="17" spans="1:3" x14ac:dyDescent="0.3">
      <c r="A17" s="89" t="str">
        <v>تحمل ضغط العمل وتنظيم الأولويات وتحمل النتائج</v>
      </c>
      <c r="B17" s="60">
        <v>7</v>
      </c>
      <c r="C17" s="61"/>
    </row>
    <row r="18" spans="1:3" x14ac:dyDescent="0.3">
      <c r="A18" s="90" t="str">
        <v>نقل المعرفة وتدريب الآخرين ودعم الفريق</v>
      </c>
      <c r="B18" s="60">
        <v>7</v>
      </c>
      <c r="C18" s="61"/>
    </row>
    <row r="19" spans="1:3" x14ac:dyDescent="0.3">
      <c r="C19" s="25"/>
    </row>
    <row r="20" spans="1:3" x14ac:dyDescent="0.3">
      <c r="C20" s="25"/>
    </row>
    <row r="21" spans="1:3" x14ac:dyDescent="0.3">
      <c r="C21" s="25"/>
    </row>
    <row r="22" spans="1:3" x14ac:dyDescent="0.3">
      <c r="C22" s="25"/>
    </row>
    <row r="23" spans="1:3" x14ac:dyDescent="0.3">
      <c r="C23" s="25"/>
    </row>
    <row r="24" spans="1:3" x14ac:dyDescent="0.3">
      <c r="C24" s="25"/>
    </row>
    <row r="25" spans="1:3" x14ac:dyDescent="0.3">
      <c r="C25" s="25"/>
    </row>
    <row r="26" spans="1:3" x14ac:dyDescent="0.3">
      <c r="C26" s="25"/>
    </row>
    <row r="27" spans="1:3" x14ac:dyDescent="0.3">
      <c r="C27" s="25"/>
    </row>
    <row r="28" spans="1:3" x14ac:dyDescent="0.3">
      <c r="C28" s="25"/>
    </row>
    <row r="29" spans="1:3" x14ac:dyDescent="0.3">
      <c r="C29" s="25"/>
    </row>
    <row r="30" spans="1:3" x14ac:dyDescent="0.3">
      <c r="C30" s="25"/>
    </row>
    <row r="31" spans="1:3" x14ac:dyDescent="0.3">
      <c r="C31" s="25"/>
    </row>
    <row r="32" spans="1:3" x14ac:dyDescent="0.3">
      <c r="C32" s="25"/>
    </row>
    <row r="33" spans="3:3" x14ac:dyDescent="0.3">
      <c r="C33" s="25"/>
    </row>
    <row r="34" spans="3:3" x14ac:dyDescent="0.3">
      <c r="C34" s="25"/>
    </row>
    <row r="35" spans="3:3" x14ac:dyDescent="0.3">
      <c r="C35" s="25"/>
    </row>
    <row r="36" spans="3:3" x14ac:dyDescent="0.3">
      <c r="C36" s="25"/>
    </row>
    <row r="37" spans="3:3" x14ac:dyDescent="0.3">
      <c r="C37" s="25"/>
    </row>
    <row r="38" spans="3:3" x14ac:dyDescent="0.3">
      <c r="C38" s="25"/>
    </row>
    <row r="39" spans="3:3" x14ac:dyDescent="0.3">
      <c r="C39" s="25"/>
    </row>
    <row r="40" spans="3:3" x14ac:dyDescent="0.3">
      <c r="C40" s="25"/>
    </row>
    <row r="41" spans="3:3" x14ac:dyDescent="0.3">
      <c r="C41" s="25"/>
    </row>
    <row r="42" spans="3:3" x14ac:dyDescent="0.3">
      <c r="C42" s="25"/>
    </row>
    <row r="43" spans="3:3" x14ac:dyDescent="0.3">
      <c r="C43" s="25"/>
    </row>
    <row r="44" spans="3:3" x14ac:dyDescent="0.3">
      <c r="C44" s="25"/>
    </row>
    <row r="45" spans="3:3" x14ac:dyDescent="0.3">
      <c r="C45" s="25"/>
    </row>
    <row r="46" spans="3:3" x14ac:dyDescent="0.3">
      <c r="C46" s="25"/>
    </row>
    <row r="47" spans="3:3" x14ac:dyDescent="0.3">
      <c r="C47" s="25"/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allowBlank="1" showInputMessage="1" showErrorMessage="1" sqref="E2" xr:uid="{ECD91C84-9857-4037-AE18-1B414299275C}">
      <formula1>$I$2:$I$5</formula1>
    </dataValidation>
    <dataValidation type="custom" allowBlank="1" showInputMessage="1" showErrorMessage="1" errorTitle="قيمة غير صحيحة" error="التقييم يجب ألا يقل عن 0 ولا يزيد عن الوزن المحدد للمؤشر_x000a_" sqref="C9:C48" xr:uid="{E980A0E6-DB75-417F-A392-A894B89DE9AB}">
      <formula1>AND(C9&gt;=0,C9&lt;=B9)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FD6BE-DEF8-41B7-ACFD-F8C0E103E008}">
          <x14:formula1>
            <xm:f>MONTHS!$A$2:$A$13</xm:f>
          </x14:formula1>
          <xm:sqref>B3</xm:sqref>
        </x14:dataValidation>
        <x14:dataValidation type="list" allowBlank="1" showInputMessage="1" showErrorMessage="1" xr:uid="{EE1E38D0-05D2-44C9-BDE9-09823EC3867F}">
          <x14:formula1>
            <xm:f>EMPLOYEES!$A$2:$A$51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D609"/>
  <sheetViews>
    <sheetView rightToLeft="1" workbookViewId="0">
      <selection activeCell="C14" sqref="C14"/>
    </sheetView>
  </sheetViews>
  <sheetFormatPr defaultRowHeight="15" x14ac:dyDescent="0.25"/>
  <cols>
    <col min="1" max="1" width="27.85546875" bestFit="1" customWidth="1"/>
    <col min="2" max="2" width="14" bestFit="1" customWidth="1"/>
    <col min="3" max="3" width="21" customWidth="1"/>
  </cols>
  <sheetData>
    <row r="1" spans="1:4" ht="18.75" x14ac:dyDescent="0.3">
      <c r="A1" s="170" t="s">
        <v>0</v>
      </c>
      <c r="B1" s="171" t="s">
        <v>79</v>
      </c>
      <c r="C1" s="171" t="s">
        <v>101</v>
      </c>
      <c r="D1" s="171" t="s">
        <v>106</v>
      </c>
    </row>
    <row r="2" spans="1:4" ht="18.75" x14ac:dyDescent="0.3">
      <c r="A2" s="3" t="s">
        <v>2</v>
      </c>
      <c r="B2" s="3" t="s">
        <v>80</v>
      </c>
      <c r="C2" s="172">
        <f>IFERROR(
  SUMIFS(
    DATA!$E:$E, DATA!$A:$A, $A2,  DATA!$B:$B, $B2 ) / 100,0)</f>
        <v>0</v>
      </c>
      <c r="D2" s="2">
        <f>INPUT!$E$2</f>
        <v>2025</v>
      </c>
    </row>
    <row r="3" spans="1:4" ht="18.75" x14ac:dyDescent="0.3">
      <c r="A3" s="3" t="s">
        <v>2</v>
      </c>
      <c r="B3" s="3" t="s">
        <v>81</v>
      </c>
      <c r="C3" s="172">
        <f>IFERROR(
  SUMIFS(
    DATA!$E:$E, DATA!$A:$A, $A3,  DATA!$B:$B, $B3 ) / 100,0)</f>
        <v>0</v>
      </c>
      <c r="D3" s="2">
        <f>INPUT!$E$2</f>
        <v>2025</v>
      </c>
    </row>
    <row r="4" spans="1:4" ht="18.75" x14ac:dyDescent="0.3">
      <c r="A4" s="3" t="s">
        <v>2</v>
      </c>
      <c r="B4" s="3" t="s">
        <v>82</v>
      </c>
      <c r="C4" s="172">
        <f>IFERROR(
  SUMIFS(
    DATA!$E:$E, DATA!$A:$A, $A4,  DATA!$B:$B, $B4 ) / 100,0)</f>
        <v>0</v>
      </c>
      <c r="D4" s="2">
        <f>INPUT!$E$2</f>
        <v>2025</v>
      </c>
    </row>
    <row r="5" spans="1:4" ht="18.75" x14ac:dyDescent="0.3">
      <c r="A5" s="3" t="s">
        <v>2</v>
      </c>
      <c r="B5" s="3" t="s">
        <v>83</v>
      </c>
      <c r="C5" s="172">
        <f>IFERROR(
  SUMIFS(
    DATA!$E:$E, DATA!$A:$A, $A5,  DATA!$B:$B, $B5 ) / 100,0)</f>
        <v>0</v>
      </c>
      <c r="D5" s="2">
        <f>INPUT!$E$2</f>
        <v>2025</v>
      </c>
    </row>
    <row r="6" spans="1:4" ht="18.75" x14ac:dyDescent="0.3">
      <c r="A6" s="3" t="s">
        <v>2</v>
      </c>
      <c r="B6" s="3" t="s">
        <v>84</v>
      </c>
      <c r="C6" s="172">
        <f>IFERROR(
  SUMIFS(
    DATA!$E:$E, DATA!$A:$A, $A6,  DATA!$B:$B, $B6 ) / 100,0)</f>
        <v>0</v>
      </c>
      <c r="D6" s="2">
        <f>INPUT!$E$2</f>
        <v>2025</v>
      </c>
    </row>
    <row r="7" spans="1:4" ht="18.75" x14ac:dyDescent="0.3">
      <c r="A7" s="3" t="s">
        <v>2</v>
      </c>
      <c r="B7" s="3" t="s">
        <v>85</v>
      </c>
      <c r="C7" s="172">
        <f>IFERROR(
  SUMIFS(
    DATA!$E:$E, DATA!$A:$A, $A7,  DATA!$B:$B, $B7 ) / 100,0)</f>
        <v>0</v>
      </c>
      <c r="D7" s="2">
        <f>INPUT!$E$2</f>
        <v>2025</v>
      </c>
    </row>
    <row r="8" spans="1:4" ht="18.75" x14ac:dyDescent="0.3">
      <c r="A8" s="3" t="s">
        <v>2</v>
      </c>
      <c r="B8" s="3" t="s">
        <v>86</v>
      </c>
      <c r="C8" s="172">
        <f>IFERROR(
  SUMIFS(
    DATA!$E:$E, DATA!$A:$A, $A8,  DATA!$B:$B, $B8 ) / 100,0)</f>
        <v>0</v>
      </c>
      <c r="D8" s="2">
        <f>INPUT!$E$2</f>
        <v>2025</v>
      </c>
    </row>
    <row r="9" spans="1:4" ht="18.75" x14ac:dyDescent="0.3">
      <c r="A9" s="3" t="s">
        <v>2</v>
      </c>
      <c r="B9" s="3" t="s">
        <v>87</v>
      </c>
      <c r="C9" s="172">
        <f>IFERROR(
  SUMIFS(
    DATA!$E:$E, DATA!$A:$A, $A9,  DATA!$B:$B, $B9 ) / 100,0)</f>
        <v>0</v>
      </c>
      <c r="D9" s="2">
        <f>INPUT!$E$2</f>
        <v>2025</v>
      </c>
    </row>
    <row r="10" spans="1:4" ht="18.75" x14ac:dyDescent="0.3">
      <c r="A10" s="3" t="s">
        <v>2</v>
      </c>
      <c r="B10" s="3" t="s">
        <v>88</v>
      </c>
      <c r="C10" s="172">
        <f>IFERROR(
  SUMIFS(
    DATA!$E:$E, DATA!$A:$A, $A10,  DATA!$B:$B, $B10 ) / 100,0)</f>
        <v>0</v>
      </c>
      <c r="D10" s="2">
        <f>INPUT!$E$2</f>
        <v>2025</v>
      </c>
    </row>
    <row r="11" spans="1:4" ht="18.75" x14ac:dyDescent="0.3">
      <c r="A11" s="3" t="s">
        <v>2</v>
      </c>
      <c r="B11" s="3" t="s">
        <v>89</v>
      </c>
      <c r="C11" s="172">
        <f>IFERROR(
  SUMIFS(
    DATA!$E:$E, DATA!$A:$A, $A11,  DATA!$B:$B, $B11 ) / 100,0)</f>
        <v>0</v>
      </c>
      <c r="D11" s="2">
        <f>INPUT!$E$2</f>
        <v>2025</v>
      </c>
    </row>
    <row r="12" spans="1:4" ht="18.75" x14ac:dyDescent="0.3">
      <c r="A12" s="3" t="s">
        <v>2</v>
      </c>
      <c r="B12" s="3" t="s">
        <v>90</v>
      </c>
      <c r="C12" s="172">
        <f>IFERROR(
  SUMIFS(
    DATA!$E:$E, DATA!$A:$A, $A12,  DATA!$B:$B, $B12 ) / 100,0)</f>
        <v>0</v>
      </c>
      <c r="D12" s="2">
        <f>INPUT!$E$2</f>
        <v>2025</v>
      </c>
    </row>
    <row r="13" spans="1:4" ht="18.75" x14ac:dyDescent="0.3">
      <c r="A13" s="3" t="s">
        <v>2</v>
      </c>
      <c r="B13" s="3" t="s">
        <v>91</v>
      </c>
      <c r="C13" s="172">
        <f>IFERROR(
  SUMIFS(
    DATA!$E:$E, DATA!$A:$A, $A13,  DATA!$B:$B, $B13 ) / 100,0)</f>
        <v>0</v>
      </c>
      <c r="D13" s="2">
        <f>INPUT!$E$2</f>
        <v>2025</v>
      </c>
    </row>
    <row r="14" spans="1:4" ht="18.75" x14ac:dyDescent="0.3">
      <c r="A14" s="3" t="s">
        <v>36</v>
      </c>
      <c r="B14" s="3" t="s">
        <v>327</v>
      </c>
      <c r="C14" s="172">
        <f>IFERROR(
  SUMIFS(
    DATA!$E:$E,
    DATA!$A:$A, $A14,
    DATA!$B:$B, $B14
  ) / 100,
0)</f>
        <v>0.8</v>
      </c>
      <c r="D14" s="2">
        <f>INPUT!$E$2</f>
        <v>2025</v>
      </c>
    </row>
    <row r="15" spans="1:4" ht="18.75" x14ac:dyDescent="0.3">
      <c r="A15" s="3" t="s">
        <v>36</v>
      </c>
      <c r="B15" s="3" t="s">
        <v>81</v>
      </c>
      <c r="C15" s="172">
        <f>IFERROR(
  SUMIFS(
    DATA!$E:$E,
    DATA!$A:$A, $A15,
    DATA!$B:$B, $B15
  ) / 100,
0)</f>
        <v>0</v>
      </c>
      <c r="D15" s="2">
        <f>INPUT!$E$2</f>
        <v>2025</v>
      </c>
    </row>
    <row r="16" spans="1:4" ht="18.75" x14ac:dyDescent="0.3">
      <c r="A16" s="3" t="s">
        <v>36</v>
      </c>
      <c r="B16" s="3" t="s">
        <v>82</v>
      </c>
      <c r="C16" s="172">
        <f>IFERROR(
  SUMIFS(
    DATA!$E:$E,
    DATA!$A:$A, $A16,
    DATA!$B:$B, $B16
  ) / 100,
0)</f>
        <v>0</v>
      </c>
      <c r="D16" s="2">
        <f>INPUT!$E$2</f>
        <v>2025</v>
      </c>
    </row>
    <row r="17" spans="1:4" ht="18.75" x14ac:dyDescent="0.3">
      <c r="A17" s="3" t="s">
        <v>36</v>
      </c>
      <c r="B17" s="3" t="s">
        <v>83</v>
      </c>
      <c r="C17" s="172">
        <f>IFERROR(
  SUMIFS(
    DATA!$E:$E,
    DATA!$A:$A, $A17,
    DATA!$B:$B, $B17
  ) / 100,
0)</f>
        <v>0</v>
      </c>
      <c r="D17" s="2">
        <f>INPUT!$E$2</f>
        <v>2025</v>
      </c>
    </row>
    <row r="18" spans="1:4" ht="18.75" x14ac:dyDescent="0.3">
      <c r="A18" s="3" t="s">
        <v>36</v>
      </c>
      <c r="B18" s="3" t="s">
        <v>84</v>
      </c>
      <c r="C18" s="172">
        <f>IFERROR(
  SUMIFS(
    DATA!$E:$E,
    DATA!$A:$A, $A18,
    DATA!$B:$B, $B18
  ) / 100,
0)</f>
        <v>0</v>
      </c>
      <c r="D18" s="2">
        <f>INPUT!$E$2</f>
        <v>2025</v>
      </c>
    </row>
    <row r="19" spans="1:4" ht="18.75" x14ac:dyDescent="0.3">
      <c r="A19" s="3" t="s">
        <v>36</v>
      </c>
      <c r="B19" s="3" t="s">
        <v>85</v>
      </c>
      <c r="C19" s="172">
        <f>IFERROR(
  SUMIFS(
    DATA!$E:$E,
    DATA!$A:$A, $A19,
    DATA!$B:$B, $B19
  ) / 100,
0)</f>
        <v>0</v>
      </c>
      <c r="D19" s="2">
        <f>INPUT!$E$2</f>
        <v>2025</v>
      </c>
    </row>
    <row r="20" spans="1:4" ht="18.75" x14ac:dyDescent="0.3">
      <c r="A20" s="3" t="s">
        <v>36</v>
      </c>
      <c r="B20" s="3" t="s">
        <v>86</v>
      </c>
      <c r="C20" s="172">
        <f>IFERROR(
  SUMIFS(
    DATA!$E:$E,
    DATA!$A:$A, $A20,
    DATA!$B:$B, $B20
  ) / 100,
0)</f>
        <v>0</v>
      </c>
      <c r="D20" s="2">
        <f>INPUT!$E$2</f>
        <v>2025</v>
      </c>
    </row>
    <row r="21" spans="1:4" ht="18.75" x14ac:dyDescent="0.3">
      <c r="A21" s="3" t="s">
        <v>36</v>
      </c>
      <c r="B21" s="3" t="s">
        <v>87</v>
      </c>
      <c r="C21" s="172">
        <f>IFERROR(
  SUMIFS(
    DATA!$E:$E,
    DATA!$A:$A, $A21,
    DATA!$B:$B, $B21
  ) / 100,
0)</f>
        <v>0</v>
      </c>
      <c r="D21" s="2">
        <f>INPUT!$E$2</f>
        <v>2025</v>
      </c>
    </row>
    <row r="22" spans="1:4" ht="18.75" x14ac:dyDescent="0.3">
      <c r="A22" s="3" t="s">
        <v>36</v>
      </c>
      <c r="B22" s="3" t="s">
        <v>88</v>
      </c>
      <c r="C22" s="172">
        <f>IFERROR(
  SUMIFS(
    DATA!$E:$E,
    DATA!$A:$A, $A22,
    DATA!$B:$B, $B22
  ) / 100,
0)</f>
        <v>0</v>
      </c>
      <c r="D22" s="2">
        <f>INPUT!$E$2</f>
        <v>2025</v>
      </c>
    </row>
    <row r="23" spans="1:4" ht="18.75" x14ac:dyDescent="0.3">
      <c r="A23" s="3" t="s">
        <v>36</v>
      </c>
      <c r="B23" s="3" t="s">
        <v>89</v>
      </c>
      <c r="C23" s="172">
        <f>IFERROR(
  SUMIFS(
    DATA!$E:$E,
    DATA!$A:$A, $A23,
    DATA!$B:$B, $B23
  ) / 100,
0)</f>
        <v>0</v>
      </c>
      <c r="D23" s="2">
        <f>INPUT!$E$2</f>
        <v>2025</v>
      </c>
    </row>
    <row r="24" spans="1:4" ht="18.75" x14ac:dyDescent="0.3">
      <c r="A24" s="3" t="s">
        <v>36</v>
      </c>
      <c r="B24" s="3" t="s">
        <v>90</v>
      </c>
      <c r="C24" s="172">
        <f>IFERROR(
  SUMIFS(
    DATA!$E:$E,
    DATA!$A:$A, $A24,
    DATA!$B:$B, $B24
  ) / 100,
0)</f>
        <v>0</v>
      </c>
      <c r="D24" s="2">
        <f>INPUT!$E$2</f>
        <v>2025</v>
      </c>
    </row>
    <row r="25" spans="1:4" ht="18.75" x14ac:dyDescent="0.3">
      <c r="A25" s="3" t="s">
        <v>36</v>
      </c>
      <c r="B25" s="3" t="s">
        <v>91</v>
      </c>
      <c r="C25" s="172">
        <f>IFERROR(
  SUMIFS(
    DATA!$E:$E,
    DATA!$A:$A, $A25,
    DATA!$B:$B, $B25
  ) / 100,
0)</f>
        <v>0</v>
      </c>
      <c r="D25" s="2">
        <f>INPUT!$E$2</f>
        <v>2025</v>
      </c>
    </row>
    <row r="26" spans="1:4" ht="18.75" x14ac:dyDescent="0.3">
      <c r="A26" s="3" t="s">
        <v>30</v>
      </c>
      <c r="B26" s="3" t="s">
        <v>327</v>
      </c>
      <c r="C26" s="172">
        <f>IFERROR(
  SUMIFS(
    DATA!$E:$E,
    DATA!$A:$A, $A26,
    DATA!$B:$B, $B26
  ) / 100,
0)</f>
        <v>0</v>
      </c>
      <c r="D26" s="2">
        <f>INPUT!$E$2</f>
        <v>2025</v>
      </c>
    </row>
    <row r="27" spans="1:4" ht="18.75" x14ac:dyDescent="0.3">
      <c r="A27" s="3" t="s">
        <v>30</v>
      </c>
      <c r="B27" s="3" t="s">
        <v>328</v>
      </c>
      <c r="C27" s="172">
        <f>IFERROR(
  SUMIFS(
    DATA!$E:$E,
    DATA!$A:$A, $A27,
    DATA!$B:$B, $B27
  ) / 100,
0)</f>
        <v>0</v>
      </c>
      <c r="D27" s="2">
        <f>INPUT!$E$2</f>
        <v>2025</v>
      </c>
    </row>
    <row r="28" spans="1:4" ht="18.75" x14ac:dyDescent="0.3">
      <c r="A28" s="3" t="s">
        <v>30</v>
      </c>
      <c r="B28" s="3" t="s">
        <v>329</v>
      </c>
      <c r="C28" s="172">
        <f>IFERROR(
  SUMIFS(
    DATA!$E:$E,
    DATA!$A:$A, $A28,
    DATA!$B:$B, $B28
  ) / 100,
0)</f>
        <v>0</v>
      </c>
      <c r="D28" s="2">
        <f>INPUT!$E$2</f>
        <v>2025</v>
      </c>
    </row>
    <row r="29" spans="1:4" ht="18.75" x14ac:dyDescent="0.3">
      <c r="A29" s="3" t="s">
        <v>39</v>
      </c>
      <c r="B29" s="3" t="s">
        <v>328</v>
      </c>
      <c r="C29" s="172">
        <f>IFERROR(
  SUMIFS(
    DATA!$E:$E,
    DATA!$A:$A, $A29,
    DATA!$B:$B, $B29
  ) / 100,
0)</f>
        <v>0</v>
      </c>
      <c r="D29" s="2">
        <f>INPUT!$E$2</f>
        <v>2025</v>
      </c>
    </row>
    <row r="30" spans="1:4" ht="18.75" x14ac:dyDescent="0.3">
      <c r="A30" s="3" t="s">
        <v>39</v>
      </c>
      <c r="B30" s="3" t="s">
        <v>327</v>
      </c>
      <c r="C30" s="172">
        <f>IFERROR(
  SUMIFS(
    DATA!$E:$E,
    DATA!$A:$A, $A30,
    DATA!$B:$B, $B30
  ) / 100,
0)</f>
        <v>0</v>
      </c>
      <c r="D30" s="2">
        <f>INPUT!$E$2</f>
        <v>2025</v>
      </c>
    </row>
    <row r="31" spans="1:4" ht="18.75" x14ac:dyDescent="0.3">
      <c r="A31" s="3"/>
      <c r="B31" s="3"/>
      <c r="C31" s="172">
        <f>IFERROR(
  SUMIFS(
    DATA!$E:$E,
    DATA!$A:$A, $A31,
    DATA!$B:$B, $B31
  ) / 100,
0)</f>
        <v>0</v>
      </c>
      <c r="D31" s="2">
        <f>INPUT!$E$2</f>
        <v>2025</v>
      </c>
    </row>
    <row r="32" spans="1:4" ht="18.75" x14ac:dyDescent="0.3">
      <c r="A32" s="3"/>
      <c r="B32" s="3"/>
      <c r="C32" s="172">
        <f>IFERROR(
  SUMIFS(
    DATA!$E:$E,
    DATA!$A:$A, $A32,
    DATA!$B:$B, $B32
  ) / 100,
0)</f>
        <v>0</v>
      </c>
      <c r="D32" s="2">
        <f>INPUT!$E$2</f>
        <v>2025</v>
      </c>
    </row>
    <row r="33" spans="1:4" ht="18.75" x14ac:dyDescent="0.3">
      <c r="A33" s="2"/>
      <c r="B33" s="3"/>
      <c r="C33" s="172">
        <f>IFERROR(
  SUMIFS(
    DATA!$E:$E,
    DATA!$A:$A, $A33,
    DATA!$B:$B, $B33
  ) / 100,
0)</f>
        <v>0</v>
      </c>
      <c r="D33" s="2">
        <f>INPUT!$E$2</f>
        <v>2025</v>
      </c>
    </row>
    <row r="34" spans="1:4" ht="18.75" x14ac:dyDescent="0.3">
      <c r="A34" s="2"/>
      <c r="B34" s="3"/>
      <c r="C34" s="172">
        <f>IFERROR(
  SUMIFS(
    DATA!$E:$E,
    DATA!$A:$A, $A34,
    DATA!$B:$B, $B34
  ) / 100,
0)</f>
        <v>0</v>
      </c>
      <c r="D34" s="2">
        <f>INPUT!$E$2</f>
        <v>2025</v>
      </c>
    </row>
    <row r="35" spans="1:4" ht="18.75" x14ac:dyDescent="0.3">
      <c r="A35" s="2"/>
      <c r="B35" s="3"/>
      <c r="C35" s="172">
        <f>IFERROR(
  SUMIFS(
    DATA!$E:$E,
    DATA!$A:$A, $A35,
    DATA!$B:$B, $B35
  ) / 100,
0)</f>
        <v>0</v>
      </c>
      <c r="D35" s="2">
        <f>INPUT!$E$2</f>
        <v>2025</v>
      </c>
    </row>
    <row r="36" spans="1:4" ht="18.75" x14ac:dyDescent="0.3">
      <c r="A36" s="2"/>
      <c r="B36" s="3"/>
      <c r="C36" s="172">
        <f>IFERROR(
  SUMIFS(
    DATA!$E:$E,
    DATA!$A:$A, $A36,
    DATA!$B:$B, $B36
  ) / 100,
0)</f>
        <v>0</v>
      </c>
      <c r="D36" s="2">
        <f>INPUT!$E$2</f>
        <v>2025</v>
      </c>
    </row>
    <row r="37" spans="1:4" ht="18.75" x14ac:dyDescent="0.3">
      <c r="A37" s="2"/>
      <c r="B37" s="3"/>
      <c r="C37" s="172">
        <f>IFERROR(
  SUMIFS(
    DATA!$E:$E,
    DATA!$A:$A, $A37,
    DATA!$B:$B, $B37
  ) / 100,
0)</f>
        <v>0</v>
      </c>
      <c r="D37" s="2">
        <f>INPUT!$E$2</f>
        <v>2025</v>
      </c>
    </row>
    <row r="38" spans="1:4" ht="18.75" x14ac:dyDescent="0.3">
      <c r="A38" s="2"/>
      <c r="B38" s="3"/>
      <c r="C38" s="172">
        <f>IFERROR(
  SUMIFS(
    DATA!$E:$E,
    DATA!$A:$A, $A38,
    DATA!$B:$B, $B38
  ) / 100,
0)</f>
        <v>0</v>
      </c>
      <c r="D38" s="2">
        <f>INPUT!$E$2</f>
        <v>2025</v>
      </c>
    </row>
    <row r="39" spans="1:4" ht="18.75" x14ac:dyDescent="0.3">
      <c r="A39" s="2"/>
      <c r="B39" s="3"/>
      <c r="C39" s="172">
        <f>IFERROR(
  SUMIFS(
    DATA!$E:$E,
    DATA!$A:$A, $A39,
    DATA!$B:$B, $B39
  ) / 100,
0)</f>
        <v>0</v>
      </c>
      <c r="D39" s="2">
        <f>INPUT!$E$2</f>
        <v>2025</v>
      </c>
    </row>
    <row r="40" spans="1:4" ht="18.75" x14ac:dyDescent="0.3">
      <c r="A40" s="2"/>
      <c r="B40" s="3"/>
      <c r="C40" s="172">
        <f>IFERROR(
  SUMIFS(
    DATA!$E:$E,
    DATA!$A:$A, $A40,
    DATA!$B:$B, $B40
  ) / 100,
0)</f>
        <v>0</v>
      </c>
      <c r="D40" s="2">
        <f>INPUT!$E$2</f>
        <v>2025</v>
      </c>
    </row>
    <row r="41" spans="1:4" ht="18.75" x14ac:dyDescent="0.3">
      <c r="A41" s="2"/>
      <c r="B41" s="3"/>
      <c r="C41" s="172">
        <f>IFERROR(
  SUMIFS(
    DATA!$E:$E,
    DATA!$A:$A, $A41,
    DATA!$B:$B, $B41
  ) / 100,
0)</f>
        <v>0</v>
      </c>
      <c r="D41" s="2">
        <f>INPUT!$E$2</f>
        <v>2025</v>
      </c>
    </row>
    <row r="42" spans="1:4" ht="18.75" x14ac:dyDescent="0.3">
      <c r="A42" s="2"/>
      <c r="B42" s="3"/>
      <c r="C42" s="172">
        <f>IFERROR(
  SUMIFS(
    DATA!$E:$E,
    DATA!$A:$A, $A42,
    DATA!$B:$B, $B42
  ) / 100,
0)</f>
        <v>0</v>
      </c>
      <c r="D42" s="2">
        <f>INPUT!$E$2</f>
        <v>2025</v>
      </c>
    </row>
    <row r="43" spans="1:4" ht="18.75" x14ac:dyDescent="0.3">
      <c r="A43" s="2"/>
      <c r="B43" s="3"/>
      <c r="C43" s="172">
        <f>IFERROR(
  SUMIFS(
    DATA!$E:$E,
    DATA!$A:$A, $A43,
    DATA!$B:$B, $B43
  ) / 100,
0)</f>
        <v>0</v>
      </c>
      <c r="D43" s="2">
        <f>INPUT!$E$2</f>
        <v>2025</v>
      </c>
    </row>
    <row r="44" spans="1:4" ht="18.75" x14ac:dyDescent="0.3">
      <c r="A44" s="2"/>
      <c r="B44" s="3"/>
      <c r="C44" s="172">
        <f>IFERROR(
  SUMIFS(
    DATA!$E:$E,
    DATA!$A:$A, $A44,
    DATA!$B:$B, $B44
  ) / 100,
0)</f>
        <v>0</v>
      </c>
      <c r="D44" s="2">
        <f>INPUT!$E$2</f>
        <v>2025</v>
      </c>
    </row>
    <row r="45" spans="1:4" ht="18.75" x14ac:dyDescent="0.3">
      <c r="A45" s="2"/>
      <c r="B45" s="3"/>
      <c r="C45" s="172">
        <f>IFERROR(
  SUMIFS(
    DATA!$E:$E,
    DATA!$A:$A, $A45,
    DATA!$B:$B, $B45
  ) / 100,
0)</f>
        <v>0</v>
      </c>
      <c r="D45" s="2">
        <f>INPUT!$E$2</f>
        <v>2025</v>
      </c>
    </row>
    <row r="46" spans="1:4" ht="18.75" x14ac:dyDescent="0.3">
      <c r="A46" s="2"/>
      <c r="B46" s="3"/>
      <c r="C46" s="172">
        <f>IFERROR(
  SUMIFS(
    DATA!$E:$E,
    DATA!$A:$A, $A46,
    DATA!$B:$B, $B46
  ) / 100,
0)</f>
        <v>0</v>
      </c>
      <c r="D46" s="2">
        <f>INPUT!$E$2</f>
        <v>2025</v>
      </c>
    </row>
    <row r="47" spans="1:4" ht="18.75" x14ac:dyDescent="0.3">
      <c r="A47" s="2"/>
      <c r="B47" s="3"/>
      <c r="C47" s="172">
        <f>IFERROR(
  SUMIFS(
    DATA!$E:$E,
    DATA!$A:$A, $A47,
    DATA!$B:$B, $B47
  ) / 100,
0)</f>
        <v>0</v>
      </c>
      <c r="D47" s="2">
        <f>INPUT!$E$2</f>
        <v>2025</v>
      </c>
    </row>
    <row r="48" spans="1:4" ht="18.75" x14ac:dyDescent="0.3">
      <c r="A48" s="2"/>
      <c r="B48" s="3"/>
      <c r="C48" s="172">
        <f>IFERROR(
  SUMIFS(
    DATA!$E:$E,
    DATA!$A:$A, $A48,
    DATA!$B:$B, $B48
  ) / 100,
0)</f>
        <v>0</v>
      </c>
      <c r="D48" s="2">
        <f>INPUT!$E$2</f>
        <v>2025</v>
      </c>
    </row>
    <row r="49" spans="1:4" ht="18.75" x14ac:dyDescent="0.3">
      <c r="A49" s="2"/>
      <c r="B49" s="3"/>
      <c r="C49" s="172">
        <f>IFERROR(
  SUMIFS(
    DATA!$E:$E,
    DATA!$A:$A, $A49,
    DATA!$B:$B, $B49
  ) / 100,
0)</f>
        <v>0</v>
      </c>
      <c r="D49" s="2">
        <f>INPUT!$E$2</f>
        <v>2025</v>
      </c>
    </row>
    <row r="50" spans="1:4" ht="18.75" x14ac:dyDescent="0.3">
      <c r="A50" s="2"/>
      <c r="B50" s="3"/>
      <c r="C50" s="172">
        <f>IFERROR(
  SUMIFS(
    DATA!$E:$E,
    DATA!$A:$A, $A50,
    DATA!$B:$B, $B50
  ) / 100,
0)</f>
        <v>0</v>
      </c>
      <c r="D50" s="2">
        <f>INPUT!$E$2</f>
        <v>2025</v>
      </c>
    </row>
    <row r="51" spans="1:4" ht="18.75" x14ac:dyDescent="0.3">
      <c r="A51" s="2"/>
      <c r="B51" s="3"/>
      <c r="C51" s="2"/>
      <c r="D51" s="2"/>
    </row>
    <row r="52" spans="1:4" ht="18.75" x14ac:dyDescent="0.3">
      <c r="A52" s="2"/>
      <c r="B52" s="3"/>
      <c r="C52" s="2"/>
      <c r="D52" s="2"/>
    </row>
    <row r="53" spans="1:4" ht="18.75" x14ac:dyDescent="0.3">
      <c r="A53" s="2"/>
      <c r="B53" s="3"/>
      <c r="C53" s="2"/>
      <c r="D53" s="2"/>
    </row>
    <row r="54" spans="1:4" ht="18.75" x14ac:dyDescent="0.3">
      <c r="A54" s="2"/>
      <c r="B54" s="3"/>
      <c r="C54" s="2"/>
      <c r="D54" s="2"/>
    </row>
    <row r="55" spans="1:4" ht="18.75" x14ac:dyDescent="0.3">
      <c r="A55" s="2"/>
      <c r="B55" s="3"/>
      <c r="C55" s="2"/>
      <c r="D55" s="2"/>
    </row>
    <row r="56" spans="1:4" ht="18.75" x14ac:dyDescent="0.3">
      <c r="A56" s="2"/>
      <c r="B56" s="3"/>
      <c r="C56" s="2"/>
      <c r="D56" s="2"/>
    </row>
    <row r="57" spans="1:4" ht="18.75" x14ac:dyDescent="0.3">
      <c r="A57" s="2"/>
      <c r="B57" s="3"/>
      <c r="C57" s="2"/>
      <c r="D57" s="2"/>
    </row>
    <row r="58" spans="1:4" ht="18.75" x14ac:dyDescent="0.3">
      <c r="A58" s="2"/>
      <c r="B58" s="3"/>
      <c r="C58" s="2"/>
      <c r="D58" s="2"/>
    </row>
    <row r="59" spans="1:4" ht="18.75" x14ac:dyDescent="0.3">
      <c r="A59" s="2"/>
      <c r="B59" s="3"/>
      <c r="C59" s="2"/>
      <c r="D59" s="2"/>
    </row>
    <row r="60" spans="1:4" ht="18.75" x14ac:dyDescent="0.3">
      <c r="A60" s="2"/>
      <c r="B60" s="3"/>
      <c r="C60" s="2"/>
      <c r="D60" s="2"/>
    </row>
    <row r="61" spans="1:4" ht="18.75" x14ac:dyDescent="0.3">
      <c r="A61" s="2"/>
      <c r="B61" s="3"/>
      <c r="C61" s="2"/>
      <c r="D61" s="2"/>
    </row>
    <row r="62" spans="1:4" ht="18.75" x14ac:dyDescent="0.3">
      <c r="A62" s="2"/>
      <c r="B62" s="3"/>
      <c r="C62" s="2"/>
      <c r="D62" s="2"/>
    </row>
    <row r="63" spans="1:4" ht="18.75" x14ac:dyDescent="0.3">
      <c r="A63" s="2"/>
      <c r="B63" s="3"/>
      <c r="C63" s="2"/>
      <c r="D63" s="2"/>
    </row>
    <row r="64" spans="1:4" ht="18.75" x14ac:dyDescent="0.3">
      <c r="A64" s="2"/>
      <c r="B64" s="3"/>
      <c r="C64" s="2"/>
      <c r="D64" s="2"/>
    </row>
    <row r="65" spans="1:4" ht="18.75" x14ac:dyDescent="0.3">
      <c r="A65" s="2"/>
      <c r="B65" s="3"/>
      <c r="C65" s="2"/>
      <c r="D65" s="2"/>
    </row>
    <row r="66" spans="1:4" ht="18.75" x14ac:dyDescent="0.3">
      <c r="A66" s="2"/>
      <c r="B66" s="3"/>
      <c r="C66" s="2"/>
      <c r="D66" s="2"/>
    </row>
    <row r="67" spans="1:4" ht="18.75" x14ac:dyDescent="0.3">
      <c r="A67" s="2"/>
      <c r="B67" s="3"/>
      <c r="C67" s="2"/>
      <c r="D67" s="2"/>
    </row>
    <row r="68" spans="1:4" ht="18.75" x14ac:dyDescent="0.3">
      <c r="A68" s="2"/>
      <c r="B68" s="3"/>
      <c r="C68" s="2"/>
      <c r="D68" s="2"/>
    </row>
    <row r="69" spans="1:4" ht="18.75" x14ac:dyDescent="0.3">
      <c r="A69" s="2"/>
      <c r="B69" s="3"/>
      <c r="C69" s="2"/>
      <c r="D69" s="2"/>
    </row>
    <row r="70" spans="1:4" ht="18.75" x14ac:dyDescent="0.3">
      <c r="A70" s="2"/>
      <c r="B70" s="3"/>
      <c r="C70" s="2"/>
      <c r="D70" s="2"/>
    </row>
    <row r="71" spans="1:4" ht="18.75" x14ac:dyDescent="0.3">
      <c r="A71" s="2"/>
      <c r="B71" s="3"/>
      <c r="C71" s="2"/>
      <c r="D71" s="2"/>
    </row>
    <row r="72" spans="1:4" ht="18.75" x14ac:dyDescent="0.3">
      <c r="A72" s="2"/>
      <c r="B72" s="3"/>
      <c r="C72" s="2"/>
      <c r="D72" s="2"/>
    </row>
    <row r="73" spans="1:4" ht="18.75" x14ac:dyDescent="0.3">
      <c r="A73" s="2"/>
      <c r="B73" s="3"/>
      <c r="C73" s="2"/>
      <c r="D73" s="2"/>
    </row>
    <row r="74" spans="1:4" ht="18.75" x14ac:dyDescent="0.3">
      <c r="A74" s="2"/>
      <c r="B74" s="3"/>
      <c r="C74" s="2"/>
      <c r="D74" s="2"/>
    </row>
    <row r="75" spans="1:4" ht="18.75" x14ac:dyDescent="0.3">
      <c r="A75" s="2"/>
      <c r="B75" s="3"/>
      <c r="C75" s="2"/>
      <c r="D75" s="2"/>
    </row>
    <row r="76" spans="1:4" ht="18.75" x14ac:dyDescent="0.3">
      <c r="A76" s="2"/>
      <c r="B76" s="3"/>
      <c r="C76" s="2"/>
      <c r="D76" s="2"/>
    </row>
    <row r="77" spans="1:4" ht="18.75" x14ac:dyDescent="0.3">
      <c r="A77" s="2"/>
      <c r="B77" s="3"/>
      <c r="C77" s="2"/>
      <c r="D77" s="2"/>
    </row>
    <row r="78" spans="1:4" ht="18.75" x14ac:dyDescent="0.3">
      <c r="A78" s="2"/>
      <c r="B78" s="3"/>
      <c r="C78" s="2"/>
      <c r="D78" s="2"/>
    </row>
    <row r="79" spans="1:4" ht="18.75" x14ac:dyDescent="0.3">
      <c r="A79" s="2"/>
      <c r="B79" s="3"/>
      <c r="C79" s="2"/>
      <c r="D79" s="2"/>
    </row>
    <row r="80" spans="1:4" ht="18.75" x14ac:dyDescent="0.3">
      <c r="A80" s="2"/>
      <c r="B80" s="3"/>
      <c r="C80" s="2"/>
      <c r="D80" s="2"/>
    </row>
    <row r="81" spans="1:4" ht="18.75" x14ac:dyDescent="0.3">
      <c r="A81" s="2"/>
      <c r="B81" s="3"/>
      <c r="C81" s="2"/>
      <c r="D81" s="2"/>
    </row>
    <row r="82" spans="1:4" ht="18.75" x14ac:dyDescent="0.3">
      <c r="A82" s="2"/>
      <c r="B82" s="3"/>
      <c r="C82" s="2"/>
      <c r="D82" s="2"/>
    </row>
    <row r="83" spans="1:4" ht="18.75" x14ac:dyDescent="0.3">
      <c r="A83" s="2"/>
      <c r="B83" s="3"/>
      <c r="C83" s="2"/>
      <c r="D83" s="2"/>
    </row>
    <row r="84" spans="1:4" ht="18.75" x14ac:dyDescent="0.3">
      <c r="A84" s="2"/>
      <c r="B84" s="3"/>
      <c r="C84" s="2"/>
      <c r="D84" s="2"/>
    </row>
    <row r="85" spans="1:4" ht="18.75" x14ac:dyDescent="0.3">
      <c r="A85" s="2"/>
      <c r="B85" s="3"/>
      <c r="C85" s="2"/>
      <c r="D85" s="2"/>
    </row>
    <row r="86" spans="1:4" ht="18.75" x14ac:dyDescent="0.3">
      <c r="A86" s="2"/>
      <c r="B86" s="3"/>
      <c r="C86" s="2"/>
      <c r="D86" s="2"/>
    </row>
    <row r="87" spans="1:4" ht="18.75" x14ac:dyDescent="0.3">
      <c r="A87" s="2"/>
      <c r="B87" s="3"/>
      <c r="C87" s="2"/>
      <c r="D87" s="2"/>
    </row>
    <row r="88" spans="1:4" ht="18.75" x14ac:dyDescent="0.3">
      <c r="A88" s="2"/>
      <c r="B88" s="3"/>
      <c r="C88" s="2"/>
      <c r="D88" s="2"/>
    </row>
    <row r="89" spans="1:4" ht="18.75" x14ac:dyDescent="0.3">
      <c r="A89" s="2"/>
      <c r="B89" s="3"/>
      <c r="C89" s="2"/>
      <c r="D89" s="2"/>
    </row>
    <row r="90" spans="1:4" ht="18.75" x14ac:dyDescent="0.3">
      <c r="A90" s="2"/>
      <c r="B90" s="3"/>
      <c r="C90" s="2"/>
      <c r="D90" s="2"/>
    </row>
    <row r="91" spans="1:4" ht="18.75" x14ac:dyDescent="0.3">
      <c r="A91" s="2"/>
      <c r="B91" s="3"/>
      <c r="C91" s="2"/>
      <c r="D91" s="2"/>
    </row>
    <row r="92" spans="1:4" ht="18.75" x14ac:dyDescent="0.3">
      <c r="A92" s="2"/>
      <c r="B92" s="3"/>
      <c r="C92" s="2"/>
      <c r="D92" s="2"/>
    </row>
    <row r="93" spans="1:4" ht="18.75" x14ac:dyDescent="0.3">
      <c r="A93" s="2"/>
      <c r="B93" s="3"/>
      <c r="C93" s="2"/>
      <c r="D93" s="2"/>
    </row>
    <row r="94" spans="1:4" ht="18.75" x14ac:dyDescent="0.3">
      <c r="A94" s="2"/>
      <c r="B94" s="3"/>
      <c r="C94" s="2"/>
      <c r="D94" s="2"/>
    </row>
    <row r="95" spans="1:4" ht="18.75" x14ac:dyDescent="0.3">
      <c r="A95" s="2"/>
      <c r="B95" s="3"/>
      <c r="C95" s="2"/>
      <c r="D95" s="2"/>
    </row>
    <row r="96" spans="1:4" ht="18.75" x14ac:dyDescent="0.3">
      <c r="A96" s="2"/>
      <c r="B96" s="3"/>
      <c r="C96" s="2"/>
      <c r="D96" s="2"/>
    </row>
    <row r="97" spans="1:4" ht="18.75" x14ac:dyDescent="0.3">
      <c r="A97" s="2"/>
      <c r="B97" s="3"/>
      <c r="C97" s="2"/>
      <c r="D97" s="2"/>
    </row>
    <row r="98" spans="1:4" ht="18.75" x14ac:dyDescent="0.3">
      <c r="A98" s="2"/>
      <c r="B98" s="3"/>
      <c r="C98" s="2"/>
      <c r="D98" s="2"/>
    </row>
    <row r="99" spans="1:4" ht="18.75" x14ac:dyDescent="0.3">
      <c r="A99" s="2"/>
      <c r="B99" s="3"/>
      <c r="C99" s="2"/>
      <c r="D99" s="2"/>
    </row>
    <row r="100" spans="1:4" ht="18.75" x14ac:dyDescent="0.3">
      <c r="A100" s="2"/>
      <c r="B100" s="3"/>
      <c r="C100" s="2"/>
      <c r="D100" s="2"/>
    </row>
    <row r="101" spans="1:4" ht="18.75" x14ac:dyDescent="0.3">
      <c r="A101" s="2"/>
      <c r="B101" s="3"/>
      <c r="C101" s="2"/>
      <c r="D101" s="2"/>
    </row>
    <row r="102" spans="1:4" ht="18.75" x14ac:dyDescent="0.3">
      <c r="A102" s="2"/>
      <c r="B102" s="3"/>
      <c r="C102" s="2"/>
      <c r="D102" s="2"/>
    </row>
    <row r="103" spans="1:4" ht="18.75" x14ac:dyDescent="0.3">
      <c r="A103" s="2"/>
      <c r="B103" s="3"/>
      <c r="C103" s="2"/>
      <c r="D103" s="2"/>
    </row>
    <row r="104" spans="1:4" ht="18.75" x14ac:dyDescent="0.3">
      <c r="A104" s="2"/>
      <c r="B104" s="3"/>
      <c r="C104" s="2"/>
      <c r="D104" s="2"/>
    </row>
    <row r="105" spans="1:4" ht="18.75" x14ac:dyDescent="0.3">
      <c r="A105" s="2"/>
      <c r="B105" s="3"/>
      <c r="C105" s="2"/>
      <c r="D105" s="2"/>
    </row>
    <row r="106" spans="1:4" ht="18.75" x14ac:dyDescent="0.3">
      <c r="A106" s="2"/>
      <c r="B106" s="3"/>
      <c r="C106" s="2"/>
      <c r="D106" s="2"/>
    </row>
    <row r="107" spans="1:4" ht="18.75" x14ac:dyDescent="0.3">
      <c r="A107" s="2"/>
      <c r="B107" s="3"/>
      <c r="C107" s="2"/>
      <c r="D107" s="2"/>
    </row>
    <row r="108" spans="1:4" ht="18.75" x14ac:dyDescent="0.3">
      <c r="A108" s="2"/>
      <c r="B108" s="3"/>
      <c r="C108" s="2"/>
      <c r="D108" s="2"/>
    </row>
    <row r="109" spans="1:4" ht="18.75" x14ac:dyDescent="0.3">
      <c r="A109" s="2"/>
      <c r="B109" s="3"/>
      <c r="C109" s="2"/>
      <c r="D109" s="2"/>
    </row>
    <row r="110" spans="1:4" ht="18.75" x14ac:dyDescent="0.3">
      <c r="A110" s="2"/>
      <c r="B110" s="3"/>
      <c r="C110" s="2"/>
      <c r="D110" s="2"/>
    </row>
    <row r="111" spans="1:4" ht="18.75" x14ac:dyDescent="0.3">
      <c r="A111" s="2"/>
      <c r="B111" s="3"/>
      <c r="C111" s="2"/>
      <c r="D111" s="2"/>
    </row>
    <row r="112" spans="1:4" ht="18.75" x14ac:dyDescent="0.3">
      <c r="A112" s="2"/>
      <c r="B112" s="3"/>
      <c r="C112" s="2"/>
      <c r="D112" s="2"/>
    </row>
    <row r="113" spans="1:4" ht="18.75" x14ac:dyDescent="0.3">
      <c r="A113" s="2"/>
      <c r="B113" s="3"/>
      <c r="C113" s="2"/>
      <c r="D113" s="2"/>
    </row>
    <row r="114" spans="1:4" ht="18.75" x14ac:dyDescent="0.3">
      <c r="A114" s="2"/>
      <c r="B114" s="3"/>
      <c r="C114" s="2"/>
      <c r="D114" s="2"/>
    </row>
    <row r="115" spans="1:4" ht="18.75" x14ac:dyDescent="0.3">
      <c r="A115" s="2"/>
      <c r="B115" s="3"/>
      <c r="C115" s="2"/>
      <c r="D115" s="2"/>
    </row>
    <row r="116" spans="1:4" ht="18.75" x14ac:dyDescent="0.3">
      <c r="A116" s="2"/>
      <c r="B116" s="3"/>
      <c r="C116" s="2"/>
      <c r="D116" s="2"/>
    </row>
    <row r="117" spans="1:4" ht="18.75" x14ac:dyDescent="0.3">
      <c r="A117" s="2"/>
      <c r="B117" s="3"/>
      <c r="C117" s="2"/>
      <c r="D117" s="2"/>
    </row>
    <row r="118" spans="1:4" ht="18.75" x14ac:dyDescent="0.3">
      <c r="A118" s="2"/>
      <c r="B118" s="3"/>
      <c r="C118" s="2"/>
      <c r="D118" s="2"/>
    </row>
    <row r="119" spans="1:4" ht="18.75" x14ac:dyDescent="0.3">
      <c r="A119" s="2"/>
      <c r="B119" s="3"/>
      <c r="C119" s="2"/>
      <c r="D119" s="2"/>
    </row>
    <row r="120" spans="1:4" ht="18.75" x14ac:dyDescent="0.3">
      <c r="A120" s="2"/>
      <c r="B120" s="3"/>
      <c r="C120" s="2"/>
      <c r="D120" s="2"/>
    </row>
    <row r="121" spans="1:4" ht="18.75" x14ac:dyDescent="0.3">
      <c r="A121" s="2"/>
      <c r="B121" s="3"/>
      <c r="C121" s="2"/>
      <c r="D121" s="2"/>
    </row>
    <row r="122" spans="1:4" ht="18.75" x14ac:dyDescent="0.3">
      <c r="A122" s="2"/>
      <c r="B122" s="3"/>
      <c r="C122" s="2"/>
      <c r="D122" s="2"/>
    </row>
    <row r="123" spans="1:4" ht="18.75" x14ac:dyDescent="0.3">
      <c r="A123" s="2"/>
      <c r="B123" s="3"/>
      <c r="C123" s="2"/>
      <c r="D123" s="2"/>
    </row>
    <row r="124" spans="1:4" ht="18.75" x14ac:dyDescent="0.3">
      <c r="A124" s="2"/>
      <c r="B124" s="3"/>
      <c r="C124" s="2"/>
      <c r="D124" s="2"/>
    </row>
    <row r="125" spans="1:4" ht="18.75" x14ac:dyDescent="0.3">
      <c r="A125" s="2"/>
      <c r="B125" s="3"/>
      <c r="C125" s="2"/>
      <c r="D125" s="2"/>
    </row>
    <row r="126" spans="1:4" ht="18.75" x14ac:dyDescent="0.3">
      <c r="A126" s="2"/>
      <c r="B126" s="3"/>
      <c r="C126" s="2"/>
      <c r="D126" s="2"/>
    </row>
    <row r="127" spans="1:4" ht="18.75" x14ac:dyDescent="0.3">
      <c r="A127" s="2"/>
      <c r="B127" s="3"/>
      <c r="C127" s="2"/>
      <c r="D127" s="2"/>
    </row>
    <row r="128" spans="1:4" ht="18.75" x14ac:dyDescent="0.3">
      <c r="A128" s="2"/>
      <c r="B128" s="3"/>
      <c r="C128" s="2"/>
      <c r="D128" s="2"/>
    </row>
    <row r="129" spans="1:4" ht="18.75" x14ac:dyDescent="0.3">
      <c r="A129" s="2"/>
      <c r="B129" s="3"/>
      <c r="C129" s="2"/>
      <c r="D129" s="2"/>
    </row>
    <row r="130" spans="1:4" ht="18.75" x14ac:dyDescent="0.3">
      <c r="A130" s="2"/>
      <c r="B130" s="3"/>
      <c r="C130" s="2"/>
      <c r="D130" s="2"/>
    </row>
    <row r="131" spans="1:4" ht="18.75" x14ac:dyDescent="0.3">
      <c r="A131" s="2"/>
      <c r="B131" s="3"/>
      <c r="C131" s="2"/>
      <c r="D131" s="2"/>
    </row>
    <row r="132" spans="1:4" ht="18.75" x14ac:dyDescent="0.3">
      <c r="A132" s="2"/>
      <c r="B132" s="3"/>
      <c r="C132" s="2"/>
      <c r="D132" s="2"/>
    </row>
    <row r="133" spans="1:4" ht="18.75" x14ac:dyDescent="0.3">
      <c r="A133" s="2"/>
      <c r="B133" s="3"/>
      <c r="C133" s="2"/>
      <c r="D133" s="2"/>
    </row>
    <row r="134" spans="1:4" ht="18.75" x14ac:dyDescent="0.3">
      <c r="A134" s="2"/>
      <c r="B134" s="3"/>
      <c r="C134" s="2"/>
      <c r="D134" s="2"/>
    </row>
    <row r="135" spans="1:4" ht="18.75" x14ac:dyDescent="0.3">
      <c r="A135" s="2"/>
      <c r="B135" s="3"/>
      <c r="C135" s="2"/>
      <c r="D135" s="2"/>
    </row>
    <row r="136" spans="1:4" ht="18.75" x14ac:dyDescent="0.3">
      <c r="A136" s="2"/>
      <c r="B136" s="3"/>
      <c r="C136" s="2"/>
      <c r="D136" s="2"/>
    </row>
    <row r="137" spans="1:4" ht="18.75" x14ac:dyDescent="0.3">
      <c r="A137" s="2"/>
      <c r="B137" s="3"/>
      <c r="C137" s="2"/>
      <c r="D137" s="2"/>
    </row>
    <row r="138" spans="1:4" ht="18.75" x14ac:dyDescent="0.3">
      <c r="A138" s="2"/>
      <c r="B138" s="3"/>
      <c r="C138" s="2"/>
      <c r="D138" s="2"/>
    </row>
    <row r="139" spans="1:4" ht="18.75" x14ac:dyDescent="0.3">
      <c r="A139" s="2"/>
      <c r="B139" s="3"/>
      <c r="C139" s="2"/>
      <c r="D139" s="2"/>
    </row>
    <row r="140" spans="1:4" ht="18.75" x14ac:dyDescent="0.3">
      <c r="A140" s="2"/>
      <c r="B140" s="3"/>
      <c r="C140" s="2"/>
      <c r="D140" s="2"/>
    </row>
    <row r="141" spans="1:4" ht="18.75" x14ac:dyDescent="0.3">
      <c r="A141" s="2"/>
      <c r="B141" s="3"/>
      <c r="C141" s="2"/>
      <c r="D141" s="2"/>
    </row>
    <row r="142" spans="1:4" ht="18.75" x14ac:dyDescent="0.3">
      <c r="A142" s="2"/>
      <c r="B142" s="3"/>
      <c r="C142" s="2"/>
      <c r="D142" s="2"/>
    </row>
    <row r="143" spans="1:4" ht="18.75" x14ac:dyDescent="0.3">
      <c r="A143" s="2"/>
      <c r="B143" s="3"/>
      <c r="C143" s="2"/>
      <c r="D143" s="2"/>
    </row>
    <row r="144" spans="1:4" ht="18.75" x14ac:dyDescent="0.3">
      <c r="A144" s="2"/>
      <c r="B144" s="3"/>
      <c r="C144" s="2"/>
      <c r="D144" s="2"/>
    </row>
    <row r="145" spans="1:4" ht="18.75" x14ac:dyDescent="0.3">
      <c r="A145" s="2"/>
      <c r="B145" s="3"/>
      <c r="C145" s="2"/>
      <c r="D145" s="2"/>
    </row>
    <row r="146" spans="1:4" ht="18.75" x14ac:dyDescent="0.3">
      <c r="A146" s="2"/>
      <c r="B146" s="3"/>
      <c r="C146" s="2"/>
      <c r="D146" s="2"/>
    </row>
    <row r="147" spans="1:4" ht="18.75" x14ac:dyDescent="0.3">
      <c r="A147" s="2"/>
      <c r="B147" s="3"/>
      <c r="C147" s="2"/>
      <c r="D147" s="2"/>
    </row>
    <row r="148" spans="1:4" ht="18.75" x14ac:dyDescent="0.3">
      <c r="A148" s="2"/>
      <c r="B148" s="3"/>
      <c r="C148" s="2"/>
      <c r="D148" s="2"/>
    </row>
    <row r="149" spans="1:4" ht="18.75" x14ac:dyDescent="0.3">
      <c r="A149" s="2"/>
      <c r="B149" s="3"/>
      <c r="C149" s="2"/>
      <c r="D149" s="2"/>
    </row>
    <row r="150" spans="1:4" ht="18.75" x14ac:dyDescent="0.3">
      <c r="A150" s="2"/>
      <c r="B150" s="3"/>
      <c r="C150" s="2"/>
      <c r="D150" s="2"/>
    </row>
    <row r="151" spans="1:4" ht="18.75" x14ac:dyDescent="0.3">
      <c r="A151" s="2"/>
      <c r="B151" s="3"/>
      <c r="C151" s="2"/>
      <c r="D151" s="2"/>
    </row>
    <row r="152" spans="1:4" ht="18.75" x14ac:dyDescent="0.3">
      <c r="A152" s="2"/>
      <c r="B152" s="3"/>
      <c r="C152" s="2"/>
      <c r="D152" s="2"/>
    </row>
    <row r="153" spans="1:4" ht="18.75" x14ac:dyDescent="0.3">
      <c r="A153" s="2"/>
      <c r="B153" s="3"/>
      <c r="C153" s="2"/>
      <c r="D153" s="2"/>
    </row>
    <row r="154" spans="1:4" ht="18.75" x14ac:dyDescent="0.3">
      <c r="A154" s="2"/>
      <c r="B154" s="3"/>
      <c r="C154" s="2"/>
      <c r="D154" s="2"/>
    </row>
    <row r="155" spans="1:4" ht="18.75" x14ac:dyDescent="0.3">
      <c r="A155" s="2"/>
      <c r="B155" s="3"/>
      <c r="C155" s="2"/>
      <c r="D155" s="2"/>
    </row>
    <row r="156" spans="1:4" ht="18.75" x14ac:dyDescent="0.3">
      <c r="A156" s="2"/>
      <c r="B156" s="3"/>
      <c r="C156" s="2"/>
      <c r="D156" s="2"/>
    </row>
    <row r="157" spans="1:4" ht="18.75" x14ac:dyDescent="0.3">
      <c r="A157" s="2"/>
      <c r="B157" s="3"/>
      <c r="C157" s="2"/>
      <c r="D157" s="2"/>
    </row>
    <row r="158" spans="1:4" ht="18.75" x14ac:dyDescent="0.3">
      <c r="A158" s="2"/>
      <c r="B158" s="3"/>
      <c r="C158" s="2"/>
      <c r="D158" s="2"/>
    </row>
    <row r="159" spans="1:4" ht="18.75" x14ac:dyDescent="0.3">
      <c r="A159" s="2"/>
      <c r="B159" s="3"/>
      <c r="C159" s="2"/>
      <c r="D159" s="2"/>
    </row>
    <row r="160" spans="1:4" ht="18.75" x14ac:dyDescent="0.3">
      <c r="A160" s="2"/>
      <c r="B160" s="3"/>
      <c r="C160" s="2"/>
      <c r="D160" s="2"/>
    </row>
    <row r="161" spans="1:4" ht="18.75" x14ac:dyDescent="0.3">
      <c r="A161" s="2"/>
      <c r="B161" s="3"/>
      <c r="C161" s="2"/>
      <c r="D161" s="2"/>
    </row>
    <row r="162" spans="1:4" ht="18.75" x14ac:dyDescent="0.3">
      <c r="A162" s="2"/>
      <c r="B162" s="3"/>
      <c r="C162" s="2"/>
      <c r="D162" s="2"/>
    </row>
    <row r="163" spans="1:4" ht="18.75" x14ac:dyDescent="0.3">
      <c r="A163" s="2"/>
      <c r="B163" s="3"/>
      <c r="C163" s="2"/>
      <c r="D163" s="2"/>
    </row>
    <row r="164" spans="1:4" ht="18.75" x14ac:dyDescent="0.3">
      <c r="A164" s="2"/>
      <c r="B164" s="3"/>
      <c r="C164" s="2"/>
      <c r="D164" s="2"/>
    </row>
    <row r="165" spans="1:4" ht="18.75" x14ac:dyDescent="0.3">
      <c r="A165" s="2"/>
      <c r="B165" s="3"/>
      <c r="C165" s="2"/>
      <c r="D165" s="2"/>
    </row>
    <row r="166" spans="1:4" ht="18.75" x14ac:dyDescent="0.3">
      <c r="A166" s="2"/>
      <c r="B166" s="3"/>
      <c r="C166" s="2"/>
      <c r="D166" s="2"/>
    </row>
    <row r="167" spans="1:4" ht="18.75" x14ac:dyDescent="0.3">
      <c r="A167" s="2"/>
      <c r="B167" s="3"/>
      <c r="C167" s="2"/>
      <c r="D167" s="2"/>
    </row>
    <row r="168" spans="1:4" ht="18.75" x14ac:dyDescent="0.3">
      <c r="A168" s="2"/>
      <c r="B168" s="3"/>
      <c r="C168" s="2"/>
      <c r="D168" s="2"/>
    </row>
    <row r="169" spans="1:4" ht="18.75" x14ac:dyDescent="0.3">
      <c r="A169" s="2"/>
      <c r="B169" s="3"/>
      <c r="C169" s="2"/>
      <c r="D169" s="2"/>
    </row>
    <row r="170" spans="1:4" ht="18.75" x14ac:dyDescent="0.3">
      <c r="A170" s="2"/>
      <c r="B170" s="3"/>
      <c r="C170" s="2"/>
      <c r="D170" s="2"/>
    </row>
    <row r="171" spans="1:4" ht="18.75" x14ac:dyDescent="0.3">
      <c r="A171" s="2"/>
      <c r="B171" s="3"/>
      <c r="C171" s="2"/>
      <c r="D171" s="2"/>
    </row>
    <row r="172" spans="1:4" ht="18.75" x14ac:dyDescent="0.3">
      <c r="A172" s="2"/>
      <c r="B172" s="3"/>
      <c r="C172" s="2"/>
      <c r="D172" s="2"/>
    </row>
    <row r="173" spans="1:4" ht="18.75" x14ac:dyDescent="0.3">
      <c r="A173" s="2"/>
      <c r="B173" s="3"/>
      <c r="C173" s="2"/>
      <c r="D173" s="2"/>
    </row>
    <row r="174" spans="1:4" ht="18.75" x14ac:dyDescent="0.3">
      <c r="A174" s="2"/>
      <c r="B174" s="3"/>
      <c r="C174" s="2"/>
      <c r="D174" s="2"/>
    </row>
    <row r="175" spans="1:4" ht="18.75" x14ac:dyDescent="0.3">
      <c r="A175" s="2"/>
      <c r="B175" s="3"/>
      <c r="C175" s="2"/>
      <c r="D175" s="2"/>
    </row>
    <row r="176" spans="1:4" ht="18.75" x14ac:dyDescent="0.3">
      <c r="A176" s="2"/>
      <c r="B176" s="3"/>
      <c r="C176" s="2"/>
      <c r="D176" s="2"/>
    </row>
    <row r="177" spans="1:4" ht="18.75" x14ac:dyDescent="0.3">
      <c r="A177" s="2"/>
      <c r="B177" s="3"/>
      <c r="C177" s="2"/>
      <c r="D177" s="2"/>
    </row>
    <row r="178" spans="1:4" ht="18.75" x14ac:dyDescent="0.3">
      <c r="A178" s="2"/>
      <c r="B178" s="3"/>
      <c r="C178" s="2"/>
      <c r="D178" s="2"/>
    </row>
    <row r="179" spans="1:4" ht="18.75" x14ac:dyDescent="0.3">
      <c r="A179" s="2"/>
      <c r="B179" s="3"/>
      <c r="C179" s="2"/>
      <c r="D179" s="2"/>
    </row>
    <row r="180" spans="1:4" ht="18.75" x14ac:dyDescent="0.3">
      <c r="A180" s="2"/>
      <c r="B180" s="3"/>
      <c r="C180" s="2"/>
      <c r="D180" s="2"/>
    </row>
    <row r="181" spans="1:4" ht="18.75" x14ac:dyDescent="0.3">
      <c r="B181" s="1"/>
    </row>
    <row r="182" spans="1:4" ht="18.75" x14ac:dyDescent="0.3">
      <c r="B182" s="1"/>
    </row>
    <row r="183" spans="1:4" ht="18.75" x14ac:dyDescent="0.3">
      <c r="B183" s="1"/>
    </row>
    <row r="184" spans="1:4" ht="18.75" x14ac:dyDescent="0.3">
      <c r="B184" s="1"/>
    </row>
    <row r="185" spans="1:4" ht="18.75" x14ac:dyDescent="0.3">
      <c r="B185" s="1"/>
    </row>
    <row r="186" spans="1:4" ht="18.75" x14ac:dyDescent="0.3">
      <c r="B186" s="1"/>
    </row>
    <row r="187" spans="1:4" ht="18.75" x14ac:dyDescent="0.3">
      <c r="B187" s="1"/>
    </row>
    <row r="188" spans="1:4" ht="18.75" x14ac:dyDescent="0.3">
      <c r="B188" s="1"/>
    </row>
    <row r="189" spans="1:4" ht="18.75" x14ac:dyDescent="0.3">
      <c r="B189" s="1"/>
    </row>
    <row r="190" spans="1:4" ht="18.75" x14ac:dyDescent="0.3">
      <c r="B190" s="1"/>
    </row>
    <row r="191" spans="1:4" ht="18.75" x14ac:dyDescent="0.3">
      <c r="B191" s="1"/>
    </row>
    <row r="192" spans="1:4" ht="18.75" x14ac:dyDescent="0.3">
      <c r="B192" s="1"/>
    </row>
    <row r="193" spans="2:2" ht="18.75" x14ac:dyDescent="0.3">
      <c r="B193" s="1"/>
    </row>
    <row r="194" spans="2:2" ht="18.75" x14ac:dyDescent="0.3">
      <c r="B194" s="1"/>
    </row>
    <row r="195" spans="2:2" ht="18.75" x14ac:dyDescent="0.3">
      <c r="B195" s="1"/>
    </row>
    <row r="196" spans="2:2" ht="18.75" x14ac:dyDescent="0.3">
      <c r="B196" s="1"/>
    </row>
    <row r="197" spans="2:2" ht="18.75" x14ac:dyDescent="0.3">
      <c r="B197" s="1"/>
    </row>
    <row r="198" spans="2:2" ht="18.75" x14ac:dyDescent="0.3">
      <c r="B198" s="1"/>
    </row>
    <row r="199" spans="2:2" ht="18.75" x14ac:dyDescent="0.3">
      <c r="B199" s="1"/>
    </row>
    <row r="200" spans="2:2" ht="18.75" x14ac:dyDescent="0.3">
      <c r="B200" s="1"/>
    </row>
    <row r="201" spans="2:2" ht="18.75" x14ac:dyDescent="0.3">
      <c r="B201" s="1"/>
    </row>
    <row r="202" spans="2:2" ht="18.75" x14ac:dyDescent="0.3">
      <c r="B202" s="1"/>
    </row>
    <row r="203" spans="2:2" ht="18.75" x14ac:dyDescent="0.3">
      <c r="B203" s="1"/>
    </row>
    <row r="204" spans="2:2" ht="18.75" x14ac:dyDescent="0.3">
      <c r="B204" s="1"/>
    </row>
    <row r="205" spans="2:2" ht="18.75" x14ac:dyDescent="0.3">
      <c r="B205" s="1"/>
    </row>
    <row r="206" spans="2:2" ht="18.75" x14ac:dyDescent="0.3">
      <c r="B206" s="1"/>
    </row>
    <row r="207" spans="2:2" ht="18.75" x14ac:dyDescent="0.3">
      <c r="B207" s="1"/>
    </row>
    <row r="208" spans="2:2" ht="18.75" x14ac:dyDescent="0.3">
      <c r="B208" s="1"/>
    </row>
    <row r="209" spans="2:2" ht="18.75" x14ac:dyDescent="0.3">
      <c r="B209" s="1"/>
    </row>
    <row r="210" spans="2:2" ht="18.75" x14ac:dyDescent="0.3">
      <c r="B210" s="1"/>
    </row>
    <row r="211" spans="2:2" ht="18.75" x14ac:dyDescent="0.3">
      <c r="B211" s="1"/>
    </row>
    <row r="212" spans="2:2" ht="18.75" x14ac:dyDescent="0.3">
      <c r="B212" s="1"/>
    </row>
    <row r="213" spans="2:2" ht="18.75" x14ac:dyDescent="0.3">
      <c r="B213" s="1"/>
    </row>
    <row r="214" spans="2:2" ht="18.75" x14ac:dyDescent="0.3">
      <c r="B214" s="1"/>
    </row>
    <row r="215" spans="2:2" ht="18.75" x14ac:dyDescent="0.3">
      <c r="B215" s="1"/>
    </row>
    <row r="216" spans="2:2" ht="18.75" x14ac:dyDescent="0.3">
      <c r="B216" s="1"/>
    </row>
    <row r="217" spans="2:2" ht="18.75" x14ac:dyDescent="0.3">
      <c r="B217" s="1"/>
    </row>
    <row r="218" spans="2:2" ht="18.75" x14ac:dyDescent="0.3">
      <c r="B218" s="1"/>
    </row>
    <row r="219" spans="2:2" ht="18.75" x14ac:dyDescent="0.3">
      <c r="B219" s="1"/>
    </row>
    <row r="220" spans="2:2" ht="18.75" x14ac:dyDescent="0.3">
      <c r="B220" s="1"/>
    </row>
    <row r="221" spans="2:2" ht="18.75" x14ac:dyDescent="0.3">
      <c r="B221" s="1"/>
    </row>
    <row r="222" spans="2:2" ht="18.75" x14ac:dyDescent="0.3">
      <c r="B222" s="1"/>
    </row>
    <row r="223" spans="2:2" ht="18.75" x14ac:dyDescent="0.3">
      <c r="B223" s="1"/>
    </row>
    <row r="224" spans="2:2" ht="18.75" x14ac:dyDescent="0.3">
      <c r="B224" s="1"/>
    </row>
    <row r="225" spans="2:2" ht="18.75" x14ac:dyDescent="0.3">
      <c r="B225" s="1"/>
    </row>
    <row r="226" spans="2:2" ht="18.75" x14ac:dyDescent="0.3">
      <c r="B226" s="1"/>
    </row>
    <row r="227" spans="2:2" ht="18.75" x14ac:dyDescent="0.3">
      <c r="B227" s="1"/>
    </row>
    <row r="228" spans="2:2" ht="18.75" x14ac:dyDescent="0.3">
      <c r="B228" s="1"/>
    </row>
    <row r="229" spans="2:2" ht="18.75" x14ac:dyDescent="0.3">
      <c r="B229" s="1"/>
    </row>
    <row r="230" spans="2:2" ht="18.75" x14ac:dyDescent="0.3">
      <c r="B230" s="1"/>
    </row>
    <row r="231" spans="2:2" ht="18.75" x14ac:dyDescent="0.3">
      <c r="B231" s="1"/>
    </row>
    <row r="232" spans="2:2" ht="18.75" x14ac:dyDescent="0.3">
      <c r="B232" s="1"/>
    </row>
    <row r="233" spans="2:2" ht="18.75" x14ac:dyDescent="0.3">
      <c r="B233" s="1"/>
    </row>
    <row r="234" spans="2:2" ht="18.75" x14ac:dyDescent="0.3">
      <c r="B234" s="1"/>
    </row>
    <row r="235" spans="2:2" ht="18.75" x14ac:dyDescent="0.3">
      <c r="B235" s="1"/>
    </row>
    <row r="236" spans="2:2" ht="18.75" x14ac:dyDescent="0.3">
      <c r="B236" s="1"/>
    </row>
    <row r="237" spans="2:2" ht="18.75" x14ac:dyDescent="0.3">
      <c r="B237" s="1"/>
    </row>
    <row r="238" spans="2:2" ht="18.75" x14ac:dyDescent="0.3">
      <c r="B238" s="1"/>
    </row>
    <row r="239" spans="2:2" ht="18.75" x14ac:dyDescent="0.3">
      <c r="B239" s="1"/>
    </row>
    <row r="240" spans="2:2" ht="18.75" x14ac:dyDescent="0.3">
      <c r="B240" s="1"/>
    </row>
    <row r="241" spans="2:2" ht="18.75" x14ac:dyDescent="0.3">
      <c r="B241" s="1"/>
    </row>
    <row r="242" spans="2:2" ht="18.75" x14ac:dyDescent="0.3">
      <c r="B242" s="1"/>
    </row>
    <row r="243" spans="2:2" ht="18.75" x14ac:dyDescent="0.3">
      <c r="B243" s="1"/>
    </row>
    <row r="244" spans="2:2" ht="18.75" x14ac:dyDescent="0.3">
      <c r="B244" s="1"/>
    </row>
    <row r="245" spans="2:2" ht="18.75" x14ac:dyDescent="0.3">
      <c r="B245" s="1"/>
    </row>
    <row r="246" spans="2:2" ht="18.75" x14ac:dyDescent="0.3">
      <c r="B246" s="1"/>
    </row>
    <row r="247" spans="2:2" ht="18.75" x14ac:dyDescent="0.3">
      <c r="B247" s="1"/>
    </row>
    <row r="248" spans="2:2" ht="18.75" x14ac:dyDescent="0.3">
      <c r="B248" s="1"/>
    </row>
    <row r="249" spans="2:2" ht="18.75" x14ac:dyDescent="0.3">
      <c r="B249" s="1"/>
    </row>
    <row r="250" spans="2:2" ht="18.75" x14ac:dyDescent="0.3">
      <c r="B250" s="1"/>
    </row>
    <row r="251" spans="2:2" ht="18.75" x14ac:dyDescent="0.3">
      <c r="B251" s="1"/>
    </row>
    <row r="252" spans="2:2" ht="18.75" x14ac:dyDescent="0.3">
      <c r="B252" s="1"/>
    </row>
    <row r="253" spans="2:2" ht="18.75" x14ac:dyDescent="0.3">
      <c r="B253" s="1"/>
    </row>
    <row r="254" spans="2:2" ht="18.75" x14ac:dyDescent="0.3">
      <c r="B254" s="1"/>
    </row>
    <row r="255" spans="2:2" ht="18.75" x14ac:dyDescent="0.3">
      <c r="B255" s="1"/>
    </row>
    <row r="256" spans="2:2" ht="18.75" x14ac:dyDescent="0.3">
      <c r="B256" s="1"/>
    </row>
    <row r="257" spans="2:2" ht="18.75" x14ac:dyDescent="0.3">
      <c r="B257" s="1"/>
    </row>
    <row r="258" spans="2:2" ht="18.75" x14ac:dyDescent="0.3">
      <c r="B258" s="1"/>
    </row>
    <row r="259" spans="2:2" ht="18.75" x14ac:dyDescent="0.3">
      <c r="B259" s="1"/>
    </row>
    <row r="260" spans="2:2" ht="18.75" x14ac:dyDescent="0.3">
      <c r="B260" s="1"/>
    </row>
    <row r="261" spans="2:2" ht="18.75" x14ac:dyDescent="0.3">
      <c r="B261" s="1"/>
    </row>
    <row r="262" spans="2:2" ht="18.75" x14ac:dyDescent="0.3">
      <c r="B262" s="1"/>
    </row>
    <row r="263" spans="2:2" ht="18.75" x14ac:dyDescent="0.3">
      <c r="B263" s="1"/>
    </row>
    <row r="264" spans="2:2" ht="18.75" x14ac:dyDescent="0.3">
      <c r="B264" s="1"/>
    </row>
    <row r="265" spans="2:2" ht="18.75" x14ac:dyDescent="0.3">
      <c r="B265" s="1"/>
    </row>
    <row r="266" spans="2:2" ht="18.75" x14ac:dyDescent="0.3">
      <c r="B266" s="1"/>
    </row>
    <row r="267" spans="2:2" ht="18.75" x14ac:dyDescent="0.3">
      <c r="B267" s="1"/>
    </row>
    <row r="268" spans="2:2" ht="18.75" x14ac:dyDescent="0.3">
      <c r="B268" s="1"/>
    </row>
    <row r="269" spans="2:2" ht="18.75" x14ac:dyDescent="0.3">
      <c r="B269" s="1"/>
    </row>
    <row r="270" spans="2:2" ht="18.75" x14ac:dyDescent="0.3">
      <c r="B270" s="1"/>
    </row>
    <row r="271" spans="2:2" ht="18.75" x14ac:dyDescent="0.3">
      <c r="B271" s="1"/>
    </row>
    <row r="272" spans="2:2" ht="18.75" x14ac:dyDescent="0.3">
      <c r="B272" s="1"/>
    </row>
    <row r="273" spans="2:2" ht="18.75" x14ac:dyDescent="0.3">
      <c r="B273" s="1"/>
    </row>
    <row r="274" spans="2:2" ht="18.75" x14ac:dyDescent="0.3">
      <c r="B274" s="1"/>
    </row>
    <row r="275" spans="2:2" ht="18.75" x14ac:dyDescent="0.3">
      <c r="B275" s="1"/>
    </row>
    <row r="276" spans="2:2" ht="18.75" x14ac:dyDescent="0.3">
      <c r="B276" s="1"/>
    </row>
    <row r="277" spans="2:2" ht="18.75" x14ac:dyDescent="0.3">
      <c r="B277" s="1"/>
    </row>
    <row r="278" spans="2:2" ht="18.75" x14ac:dyDescent="0.3">
      <c r="B278" s="1"/>
    </row>
    <row r="279" spans="2:2" ht="18.75" x14ac:dyDescent="0.3">
      <c r="B279" s="1"/>
    </row>
    <row r="280" spans="2:2" ht="18.75" x14ac:dyDescent="0.3">
      <c r="B280" s="1"/>
    </row>
    <row r="281" spans="2:2" ht="18.75" x14ac:dyDescent="0.3">
      <c r="B281" s="1"/>
    </row>
    <row r="282" spans="2:2" ht="18.75" x14ac:dyDescent="0.3">
      <c r="B282" s="1"/>
    </row>
    <row r="283" spans="2:2" ht="18.75" x14ac:dyDescent="0.3">
      <c r="B283" s="1"/>
    </row>
    <row r="284" spans="2:2" ht="18.75" x14ac:dyDescent="0.3">
      <c r="B284" s="1"/>
    </row>
    <row r="285" spans="2:2" ht="18.75" x14ac:dyDescent="0.3">
      <c r="B285" s="1"/>
    </row>
    <row r="286" spans="2:2" ht="18.75" x14ac:dyDescent="0.3">
      <c r="B286" s="1"/>
    </row>
    <row r="287" spans="2:2" ht="18.75" x14ac:dyDescent="0.3">
      <c r="B287" s="1"/>
    </row>
    <row r="288" spans="2:2" ht="18.75" x14ac:dyDescent="0.3">
      <c r="B288" s="1"/>
    </row>
    <row r="289" spans="2:2" ht="18.75" x14ac:dyDescent="0.3">
      <c r="B289" s="1"/>
    </row>
    <row r="290" spans="2:2" ht="18.75" x14ac:dyDescent="0.3">
      <c r="B290" s="1"/>
    </row>
    <row r="291" spans="2:2" ht="18.75" x14ac:dyDescent="0.3">
      <c r="B291" s="1"/>
    </row>
    <row r="292" spans="2:2" ht="18.75" x14ac:dyDescent="0.3">
      <c r="B292" s="1"/>
    </row>
    <row r="293" spans="2:2" ht="18.75" x14ac:dyDescent="0.3">
      <c r="B293" s="1"/>
    </row>
    <row r="294" spans="2:2" ht="18.75" x14ac:dyDescent="0.3">
      <c r="B294" s="1"/>
    </row>
    <row r="295" spans="2:2" ht="18.75" x14ac:dyDescent="0.3">
      <c r="B295" s="1"/>
    </row>
    <row r="296" spans="2:2" ht="18.75" x14ac:dyDescent="0.3">
      <c r="B296" s="1"/>
    </row>
    <row r="297" spans="2:2" ht="18.75" x14ac:dyDescent="0.3">
      <c r="B297" s="1"/>
    </row>
    <row r="298" spans="2:2" ht="18.75" x14ac:dyDescent="0.3">
      <c r="B298" s="1"/>
    </row>
    <row r="299" spans="2:2" ht="18.75" x14ac:dyDescent="0.3">
      <c r="B299" s="1"/>
    </row>
    <row r="300" spans="2:2" ht="18.75" x14ac:dyDescent="0.3">
      <c r="B300" s="1"/>
    </row>
    <row r="301" spans="2:2" ht="18.75" x14ac:dyDescent="0.3">
      <c r="B301" s="1"/>
    </row>
    <row r="302" spans="2:2" ht="18.75" x14ac:dyDescent="0.3">
      <c r="B302" s="1"/>
    </row>
    <row r="303" spans="2:2" ht="18.75" x14ac:dyDescent="0.3">
      <c r="B303" s="1"/>
    </row>
    <row r="304" spans="2:2" ht="18.75" x14ac:dyDescent="0.3">
      <c r="B304" s="1"/>
    </row>
    <row r="305" spans="2:2" ht="18.75" x14ac:dyDescent="0.3">
      <c r="B305" s="1"/>
    </row>
    <row r="306" spans="2:2" ht="18.75" x14ac:dyDescent="0.3">
      <c r="B306" s="1"/>
    </row>
    <row r="307" spans="2:2" ht="18.75" x14ac:dyDescent="0.3">
      <c r="B307" s="1"/>
    </row>
    <row r="308" spans="2:2" ht="18.75" x14ac:dyDescent="0.3">
      <c r="B308" s="1"/>
    </row>
    <row r="309" spans="2:2" ht="18.75" x14ac:dyDescent="0.3">
      <c r="B309" s="1"/>
    </row>
    <row r="310" spans="2:2" ht="18.75" x14ac:dyDescent="0.3">
      <c r="B310" s="1"/>
    </row>
    <row r="311" spans="2:2" ht="18.75" x14ac:dyDescent="0.3">
      <c r="B311" s="1"/>
    </row>
    <row r="312" spans="2:2" ht="18.75" x14ac:dyDescent="0.3">
      <c r="B312" s="1"/>
    </row>
    <row r="313" spans="2:2" ht="18.75" x14ac:dyDescent="0.3">
      <c r="B313" s="1"/>
    </row>
    <row r="314" spans="2:2" ht="18.75" x14ac:dyDescent="0.3">
      <c r="B314" s="1"/>
    </row>
    <row r="315" spans="2:2" ht="18.75" x14ac:dyDescent="0.3">
      <c r="B315" s="1"/>
    </row>
    <row r="316" spans="2:2" ht="18.75" x14ac:dyDescent="0.3">
      <c r="B316" s="1"/>
    </row>
    <row r="317" spans="2:2" ht="18.75" x14ac:dyDescent="0.3">
      <c r="B317" s="1"/>
    </row>
    <row r="318" spans="2:2" ht="18.75" x14ac:dyDescent="0.3">
      <c r="B318" s="1"/>
    </row>
    <row r="319" spans="2:2" ht="18.75" x14ac:dyDescent="0.3">
      <c r="B319" s="1"/>
    </row>
    <row r="320" spans="2:2" ht="18.75" x14ac:dyDescent="0.3">
      <c r="B320" s="1"/>
    </row>
    <row r="321" spans="2:2" ht="18.75" x14ac:dyDescent="0.3">
      <c r="B321" s="1"/>
    </row>
    <row r="322" spans="2:2" ht="18.75" x14ac:dyDescent="0.3">
      <c r="B322" s="1"/>
    </row>
    <row r="323" spans="2:2" ht="18.75" x14ac:dyDescent="0.3">
      <c r="B323" s="1"/>
    </row>
    <row r="324" spans="2:2" ht="18.75" x14ac:dyDescent="0.3">
      <c r="B324" s="1"/>
    </row>
    <row r="325" spans="2:2" ht="18.75" x14ac:dyDescent="0.3">
      <c r="B325" s="1"/>
    </row>
    <row r="326" spans="2:2" ht="18.75" x14ac:dyDescent="0.3">
      <c r="B326" s="1"/>
    </row>
    <row r="327" spans="2:2" ht="18.75" x14ac:dyDescent="0.3">
      <c r="B327" s="1"/>
    </row>
    <row r="328" spans="2:2" ht="18.75" x14ac:dyDescent="0.3">
      <c r="B328" s="1"/>
    </row>
    <row r="329" spans="2:2" ht="18.75" x14ac:dyDescent="0.3">
      <c r="B329" s="1"/>
    </row>
    <row r="330" spans="2:2" ht="18.75" x14ac:dyDescent="0.3">
      <c r="B330" s="1"/>
    </row>
    <row r="331" spans="2:2" ht="18.75" x14ac:dyDescent="0.3">
      <c r="B331" s="1"/>
    </row>
    <row r="332" spans="2:2" ht="18.75" x14ac:dyDescent="0.3">
      <c r="B332" s="1"/>
    </row>
    <row r="333" spans="2:2" ht="18.75" x14ac:dyDescent="0.3">
      <c r="B333" s="1"/>
    </row>
    <row r="334" spans="2:2" ht="18.75" x14ac:dyDescent="0.3">
      <c r="B334" s="1"/>
    </row>
    <row r="335" spans="2:2" ht="18.75" x14ac:dyDescent="0.3">
      <c r="B335" s="1"/>
    </row>
    <row r="336" spans="2:2" ht="18.75" x14ac:dyDescent="0.3">
      <c r="B336" s="1"/>
    </row>
    <row r="337" spans="2:2" ht="18.75" x14ac:dyDescent="0.3">
      <c r="B337" s="1"/>
    </row>
    <row r="338" spans="2:2" ht="18.75" x14ac:dyDescent="0.3">
      <c r="B338" s="1"/>
    </row>
    <row r="339" spans="2:2" ht="18.75" x14ac:dyDescent="0.3">
      <c r="B339" s="1"/>
    </row>
    <row r="340" spans="2:2" ht="18.75" x14ac:dyDescent="0.3">
      <c r="B340" s="1"/>
    </row>
    <row r="341" spans="2:2" ht="18.75" x14ac:dyDescent="0.3">
      <c r="B341" s="1"/>
    </row>
    <row r="342" spans="2:2" ht="18.75" x14ac:dyDescent="0.3">
      <c r="B342" s="1"/>
    </row>
    <row r="343" spans="2:2" ht="18.75" x14ac:dyDescent="0.3">
      <c r="B343" s="1"/>
    </row>
    <row r="344" spans="2:2" ht="18.75" x14ac:dyDescent="0.3">
      <c r="B344" s="1"/>
    </row>
    <row r="345" spans="2:2" ht="18.75" x14ac:dyDescent="0.3">
      <c r="B345" s="1"/>
    </row>
    <row r="346" spans="2:2" ht="18.75" x14ac:dyDescent="0.3">
      <c r="B346" s="1"/>
    </row>
    <row r="347" spans="2:2" ht="18.75" x14ac:dyDescent="0.3">
      <c r="B347" s="1"/>
    </row>
    <row r="348" spans="2:2" ht="18.75" x14ac:dyDescent="0.3">
      <c r="B348" s="1"/>
    </row>
    <row r="349" spans="2:2" ht="18.75" x14ac:dyDescent="0.3">
      <c r="B349" s="1"/>
    </row>
    <row r="350" spans="2:2" ht="18.75" x14ac:dyDescent="0.3">
      <c r="B350" s="1"/>
    </row>
    <row r="351" spans="2:2" ht="18.75" x14ac:dyDescent="0.3">
      <c r="B351" s="1"/>
    </row>
    <row r="352" spans="2:2" ht="18.75" x14ac:dyDescent="0.3">
      <c r="B352" s="1"/>
    </row>
    <row r="353" spans="2:2" ht="18.75" x14ac:dyDescent="0.3">
      <c r="B353" s="1"/>
    </row>
    <row r="354" spans="2:2" ht="18.75" x14ac:dyDescent="0.3">
      <c r="B354" s="1"/>
    </row>
    <row r="355" spans="2:2" ht="18.75" x14ac:dyDescent="0.3">
      <c r="B355" s="1"/>
    </row>
    <row r="356" spans="2:2" ht="18.75" x14ac:dyDescent="0.3">
      <c r="B356" s="1"/>
    </row>
    <row r="357" spans="2:2" ht="18.75" x14ac:dyDescent="0.3">
      <c r="B357" s="1"/>
    </row>
    <row r="358" spans="2:2" ht="18.75" x14ac:dyDescent="0.3">
      <c r="B358" s="1"/>
    </row>
    <row r="359" spans="2:2" ht="18.75" x14ac:dyDescent="0.3">
      <c r="B359" s="1"/>
    </row>
    <row r="360" spans="2:2" ht="18.75" x14ac:dyDescent="0.3">
      <c r="B360" s="1"/>
    </row>
    <row r="361" spans="2:2" ht="18.75" x14ac:dyDescent="0.3">
      <c r="B361" s="1"/>
    </row>
    <row r="362" spans="2:2" ht="18.75" x14ac:dyDescent="0.3">
      <c r="B362" s="1"/>
    </row>
    <row r="363" spans="2:2" ht="18.75" x14ac:dyDescent="0.3">
      <c r="B363" s="1"/>
    </row>
    <row r="364" spans="2:2" ht="18.75" x14ac:dyDescent="0.3">
      <c r="B364" s="1"/>
    </row>
    <row r="365" spans="2:2" ht="18.75" x14ac:dyDescent="0.3">
      <c r="B365" s="1"/>
    </row>
    <row r="366" spans="2:2" ht="18.75" x14ac:dyDescent="0.3">
      <c r="B366" s="1"/>
    </row>
    <row r="367" spans="2:2" ht="18.75" x14ac:dyDescent="0.3">
      <c r="B367" s="1"/>
    </row>
    <row r="368" spans="2:2" ht="18.75" x14ac:dyDescent="0.3">
      <c r="B368" s="1"/>
    </row>
    <row r="369" spans="2:2" ht="18.75" x14ac:dyDescent="0.3">
      <c r="B369" s="1"/>
    </row>
    <row r="370" spans="2:2" ht="18.75" x14ac:dyDescent="0.3">
      <c r="B370" s="1"/>
    </row>
    <row r="371" spans="2:2" ht="18.75" x14ac:dyDescent="0.3">
      <c r="B371" s="1"/>
    </row>
    <row r="372" spans="2:2" ht="18.75" x14ac:dyDescent="0.3">
      <c r="B372" s="1"/>
    </row>
    <row r="373" spans="2:2" ht="18.75" x14ac:dyDescent="0.3">
      <c r="B373" s="1"/>
    </row>
    <row r="374" spans="2:2" ht="18.75" x14ac:dyDescent="0.3">
      <c r="B374" s="1"/>
    </row>
    <row r="375" spans="2:2" ht="18.75" x14ac:dyDescent="0.3">
      <c r="B375" s="1"/>
    </row>
    <row r="376" spans="2:2" ht="18.75" x14ac:dyDescent="0.3">
      <c r="B376" s="1"/>
    </row>
    <row r="377" spans="2:2" ht="18.75" x14ac:dyDescent="0.3">
      <c r="B377" s="1"/>
    </row>
    <row r="378" spans="2:2" ht="18.75" x14ac:dyDescent="0.3">
      <c r="B378" s="1"/>
    </row>
    <row r="379" spans="2:2" ht="18.75" x14ac:dyDescent="0.3">
      <c r="B379" s="1"/>
    </row>
    <row r="380" spans="2:2" ht="18.75" x14ac:dyDescent="0.3">
      <c r="B380" s="1"/>
    </row>
    <row r="381" spans="2:2" ht="18.75" x14ac:dyDescent="0.3">
      <c r="B381" s="1"/>
    </row>
    <row r="382" spans="2:2" ht="18.75" x14ac:dyDescent="0.3">
      <c r="B382" s="1"/>
    </row>
    <row r="383" spans="2:2" ht="18.75" x14ac:dyDescent="0.3">
      <c r="B383" s="1"/>
    </row>
    <row r="384" spans="2:2" ht="18.75" x14ac:dyDescent="0.3">
      <c r="B384" s="1"/>
    </row>
    <row r="385" spans="2:2" ht="18.75" x14ac:dyDescent="0.3">
      <c r="B385" s="1"/>
    </row>
    <row r="386" spans="2:2" ht="18.75" x14ac:dyDescent="0.3">
      <c r="B386" s="1"/>
    </row>
    <row r="387" spans="2:2" ht="18.75" x14ac:dyDescent="0.3">
      <c r="B387" s="1"/>
    </row>
    <row r="388" spans="2:2" ht="18.75" x14ac:dyDescent="0.3">
      <c r="B388" s="1"/>
    </row>
    <row r="389" spans="2:2" ht="18.75" x14ac:dyDescent="0.3">
      <c r="B389" s="1"/>
    </row>
    <row r="390" spans="2:2" ht="18.75" x14ac:dyDescent="0.3">
      <c r="B390" s="1"/>
    </row>
    <row r="391" spans="2:2" ht="18.75" x14ac:dyDescent="0.3">
      <c r="B391" s="1"/>
    </row>
    <row r="392" spans="2:2" ht="18.75" x14ac:dyDescent="0.3">
      <c r="B392" s="1"/>
    </row>
    <row r="393" spans="2:2" ht="18.75" x14ac:dyDescent="0.3">
      <c r="B393" s="1"/>
    </row>
    <row r="394" spans="2:2" ht="18.75" x14ac:dyDescent="0.3">
      <c r="B394" s="1"/>
    </row>
    <row r="395" spans="2:2" ht="18.75" x14ac:dyDescent="0.3">
      <c r="B395" s="1"/>
    </row>
    <row r="396" spans="2:2" ht="18.75" x14ac:dyDescent="0.3">
      <c r="B396" s="1"/>
    </row>
    <row r="397" spans="2:2" ht="18.75" x14ac:dyDescent="0.3">
      <c r="B397" s="1"/>
    </row>
    <row r="398" spans="2:2" ht="18.75" x14ac:dyDescent="0.3">
      <c r="B398" s="1"/>
    </row>
    <row r="399" spans="2:2" ht="18.75" x14ac:dyDescent="0.3">
      <c r="B399" s="1"/>
    </row>
    <row r="400" spans="2:2" ht="18.75" x14ac:dyDescent="0.3">
      <c r="B400" s="1"/>
    </row>
    <row r="401" spans="2:2" ht="18.75" x14ac:dyDescent="0.3">
      <c r="B401" s="1"/>
    </row>
    <row r="402" spans="2:2" ht="18.75" x14ac:dyDescent="0.3">
      <c r="B402" s="1"/>
    </row>
    <row r="403" spans="2:2" ht="18.75" x14ac:dyDescent="0.3">
      <c r="B403" s="1"/>
    </row>
    <row r="404" spans="2:2" ht="18.75" x14ac:dyDescent="0.3">
      <c r="B404" s="1"/>
    </row>
    <row r="405" spans="2:2" ht="18.75" x14ac:dyDescent="0.3">
      <c r="B405" s="1"/>
    </row>
    <row r="406" spans="2:2" ht="18.75" x14ac:dyDescent="0.3">
      <c r="B406" s="1"/>
    </row>
    <row r="407" spans="2:2" ht="18.75" x14ac:dyDescent="0.3">
      <c r="B407" s="1"/>
    </row>
    <row r="408" spans="2:2" ht="18.75" x14ac:dyDescent="0.3">
      <c r="B408" s="1"/>
    </row>
    <row r="409" spans="2:2" ht="18.75" x14ac:dyDescent="0.3">
      <c r="B409" s="1"/>
    </row>
    <row r="410" spans="2:2" ht="18.75" x14ac:dyDescent="0.3">
      <c r="B410" s="1"/>
    </row>
    <row r="411" spans="2:2" ht="18.75" x14ac:dyDescent="0.3">
      <c r="B411" s="1"/>
    </row>
    <row r="412" spans="2:2" ht="18.75" x14ac:dyDescent="0.3">
      <c r="B412" s="1"/>
    </row>
    <row r="413" spans="2:2" ht="18.75" x14ac:dyDescent="0.3">
      <c r="B413" s="1"/>
    </row>
    <row r="414" spans="2:2" ht="18.75" x14ac:dyDescent="0.3">
      <c r="B414" s="1"/>
    </row>
    <row r="415" spans="2:2" ht="18.75" x14ac:dyDescent="0.3">
      <c r="B415" s="1"/>
    </row>
    <row r="416" spans="2:2" ht="18.75" x14ac:dyDescent="0.3">
      <c r="B416" s="1"/>
    </row>
    <row r="417" spans="2:2" ht="18.75" x14ac:dyDescent="0.3">
      <c r="B417" s="1"/>
    </row>
    <row r="418" spans="2:2" ht="18.75" x14ac:dyDescent="0.3">
      <c r="B418" s="1"/>
    </row>
    <row r="419" spans="2:2" ht="18.75" x14ac:dyDescent="0.3">
      <c r="B419" s="1"/>
    </row>
    <row r="420" spans="2:2" ht="18.75" x14ac:dyDescent="0.3">
      <c r="B420" s="1"/>
    </row>
    <row r="421" spans="2:2" ht="18.75" x14ac:dyDescent="0.3">
      <c r="B421" s="1"/>
    </row>
    <row r="422" spans="2:2" ht="18.75" x14ac:dyDescent="0.3">
      <c r="B422" s="1"/>
    </row>
    <row r="423" spans="2:2" ht="18.75" x14ac:dyDescent="0.3">
      <c r="B423" s="1"/>
    </row>
    <row r="424" spans="2:2" ht="18.75" x14ac:dyDescent="0.3">
      <c r="B424" s="1"/>
    </row>
    <row r="425" spans="2:2" ht="18.75" x14ac:dyDescent="0.3">
      <c r="B425" s="1"/>
    </row>
    <row r="426" spans="2:2" ht="18.75" x14ac:dyDescent="0.3">
      <c r="B426" s="1"/>
    </row>
    <row r="427" spans="2:2" ht="18.75" x14ac:dyDescent="0.3">
      <c r="B427" s="1"/>
    </row>
    <row r="428" spans="2:2" ht="18.75" x14ac:dyDescent="0.3">
      <c r="B428" s="1"/>
    </row>
    <row r="429" spans="2:2" ht="18.75" x14ac:dyDescent="0.3">
      <c r="B429" s="1"/>
    </row>
    <row r="430" spans="2:2" ht="18.75" x14ac:dyDescent="0.3">
      <c r="B430" s="1"/>
    </row>
    <row r="431" spans="2:2" ht="18.75" x14ac:dyDescent="0.3">
      <c r="B431" s="1"/>
    </row>
    <row r="432" spans="2:2" ht="18.75" x14ac:dyDescent="0.3">
      <c r="B432" s="1"/>
    </row>
    <row r="433" spans="2:2" ht="18.75" x14ac:dyDescent="0.3">
      <c r="B433" s="1"/>
    </row>
    <row r="434" spans="2:2" ht="18.75" x14ac:dyDescent="0.3">
      <c r="B434" s="1"/>
    </row>
    <row r="435" spans="2:2" ht="18.75" x14ac:dyDescent="0.3">
      <c r="B435" s="1"/>
    </row>
    <row r="436" spans="2:2" ht="18.75" x14ac:dyDescent="0.3">
      <c r="B436" s="1"/>
    </row>
    <row r="437" spans="2:2" ht="18.75" x14ac:dyDescent="0.3">
      <c r="B437" s="1"/>
    </row>
    <row r="438" spans="2:2" ht="18.75" x14ac:dyDescent="0.3">
      <c r="B438" s="1"/>
    </row>
    <row r="439" spans="2:2" ht="18.75" x14ac:dyDescent="0.3">
      <c r="B439" s="1"/>
    </row>
    <row r="440" spans="2:2" ht="18.75" x14ac:dyDescent="0.3">
      <c r="B440" s="1"/>
    </row>
    <row r="441" spans="2:2" ht="18.75" x14ac:dyDescent="0.3">
      <c r="B441" s="1"/>
    </row>
    <row r="442" spans="2:2" ht="18.75" x14ac:dyDescent="0.3">
      <c r="B442" s="1"/>
    </row>
    <row r="443" spans="2:2" ht="18.75" x14ac:dyDescent="0.3">
      <c r="B443" s="1"/>
    </row>
    <row r="444" spans="2:2" ht="18.75" x14ac:dyDescent="0.3">
      <c r="B444" s="1"/>
    </row>
    <row r="445" spans="2:2" ht="18.75" x14ac:dyDescent="0.3">
      <c r="B445" s="1"/>
    </row>
    <row r="446" spans="2:2" ht="18.75" x14ac:dyDescent="0.3">
      <c r="B446" s="1"/>
    </row>
    <row r="447" spans="2:2" ht="18.75" x14ac:dyDescent="0.3">
      <c r="B447" s="1"/>
    </row>
    <row r="448" spans="2:2" ht="18.75" x14ac:dyDescent="0.3">
      <c r="B448" s="1"/>
    </row>
    <row r="449" spans="2:2" ht="18.75" x14ac:dyDescent="0.3">
      <c r="B449" s="1"/>
    </row>
    <row r="450" spans="2:2" ht="18.75" x14ac:dyDescent="0.3">
      <c r="B450" s="1"/>
    </row>
    <row r="451" spans="2:2" ht="18.75" x14ac:dyDescent="0.3">
      <c r="B451" s="1"/>
    </row>
    <row r="452" spans="2:2" ht="18.75" x14ac:dyDescent="0.3">
      <c r="B452" s="1"/>
    </row>
    <row r="453" spans="2:2" ht="18.75" x14ac:dyDescent="0.3">
      <c r="B453" s="1"/>
    </row>
    <row r="454" spans="2:2" ht="18.75" x14ac:dyDescent="0.3">
      <c r="B454" s="1"/>
    </row>
    <row r="455" spans="2:2" ht="18.75" x14ac:dyDescent="0.3">
      <c r="B455" s="1"/>
    </row>
    <row r="456" spans="2:2" ht="18.75" x14ac:dyDescent="0.3">
      <c r="B456" s="1"/>
    </row>
    <row r="457" spans="2:2" ht="18.75" x14ac:dyDescent="0.3">
      <c r="B457" s="1"/>
    </row>
    <row r="458" spans="2:2" ht="18.75" x14ac:dyDescent="0.3">
      <c r="B458" s="1"/>
    </row>
    <row r="459" spans="2:2" ht="18.75" x14ac:dyDescent="0.3">
      <c r="B459" s="1"/>
    </row>
    <row r="460" spans="2:2" ht="18.75" x14ac:dyDescent="0.3">
      <c r="B460" s="1"/>
    </row>
    <row r="461" spans="2:2" ht="18.75" x14ac:dyDescent="0.3">
      <c r="B461" s="1"/>
    </row>
    <row r="462" spans="2:2" ht="18.75" x14ac:dyDescent="0.3">
      <c r="B462" s="1"/>
    </row>
    <row r="463" spans="2:2" ht="18.75" x14ac:dyDescent="0.3">
      <c r="B463" s="1"/>
    </row>
    <row r="464" spans="2:2" ht="18.75" x14ac:dyDescent="0.3">
      <c r="B464" s="1"/>
    </row>
    <row r="465" spans="2:2" ht="18.75" x14ac:dyDescent="0.3">
      <c r="B465" s="1"/>
    </row>
    <row r="466" spans="2:2" ht="18.75" x14ac:dyDescent="0.3">
      <c r="B466" s="1"/>
    </row>
    <row r="467" spans="2:2" ht="18.75" x14ac:dyDescent="0.3">
      <c r="B467" s="1"/>
    </row>
    <row r="468" spans="2:2" ht="18.75" x14ac:dyDescent="0.3">
      <c r="B468" s="1"/>
    </row>
    <row r="469" spans="2:2" ht="18.75" x14ac:dyDescent="0.3">
      <c r="B469" s="1"/>
    </row>
    <row r="470" spans="2:2" ht="18.75" x14ac:dyDescent="0.3">
      <c r="B470" s="1"/>
    </row>
    <row r="471" spans="2:2" ht="18.75" x14ac:dyDescent="0.3">
      <c r="B471" s="1"/>
    </row>
    <row r="472" spans="2:2" ht="18.75" x14ac:dyDescent="0.3">
      <c r="B472" s="1"/>
    </row>
    <row r="473" spans="2:2" ht="18.75" x14ac:dyDescent="0.3">
      <c r="B473" s="1"/>
    </row>
    <row r="474" spans="2:2" ht="18.75" x14ac:dyDescent="0.3">
      <c r="B474" s="1"/>
    </row>
    <row r="475" spans="2:2" ht="18.75" x14ac:dyDescent="0.3">
      <c r="B475" s="1"/>
    </row>
    <row r="476" spans="2:2" ht="18.75" x14ac:dyDescent="0.3">
      <c r="B476" s="1"/>
    </row>
    <row r="477" spans="2:2" ht="18.75" x14ac:dyDescent="0.3">
      <c r="B477" s="1"/>
    </row>
    <row r="478" spans="2:2" ht="18.75" x14ac:dyDescent="0.3">
      <c r="B478" s="1"/>
    </row>
    <row r="479" spans="2:2" ht="18.75" x14ac:dyDescent="0.3">
      <c r="B479" s="1"/>
    </row>
    <row r="480" spans="2:2" ht="18.75" x14ac:dyDescent="0.3">
      <c r="B480" s="1"/>
    </row>
    <row r="481" spans="2:2" ht="18.75" x14ac:dyDescent="0.3">
      <c r="B481" s="1"/>
    </row>
    <row r="482" spans="2:2" ht="18.75" x14ac:dyDescent="0.3">
      <c r="B482" s="1"/>
    </row>
    <row r="483" spans="2:2" ht="18.75" x14ac:dyDescent="0.3">
      <c r="B483" s="1"/>
    </row>
    <row r="484" spans="2:2" ht="18.75" x14ac:dyDescent="0.3">
      <c r="B484" s="1"/>
    </row>
    <row r="485" spans="2:2" ht="18.75" x14ac:dyDescent="0.3">
      <c r="B485" s="1"/>
    </row>
    <row r="486" spans="2:2" ht="18.75" x14ac:dyDescent="0.3">
      <c r="B486" s="1"/>
    </row>
    <row r="487" spans="2:2" ht="18.75" x14ac:dyDescent="0.3">
      <c r="B487" s="1"/>
    </row>
    <row r="488" spans="2:2" ht="18.75" x14ac:dyDescent="0.3">
      <c r="B488" s="1"/>
    </row>
    <row r="489" spans="2:2" ht="18.75" x14ac:dyDescent="0.3">
      <c r="B489" s="1"/>
    </row>
    <row r="490" spans="2:2" ht="18.75" x14ac:dyDescent="0.3">
      <c r="B490" s="1"/>
    </row>
    <row r="491" spans="2:2" ht="18.75" x14ac:dyDescent="0.3">
      <c r="B491" s="1"/>
    </row>
    <row r="492" spans="2:2" ht="18.75" x14ac:dyDescent="0.3">
      <c r="B492" s="1"/>
    </row>
    <row r="493" spans="2:2" ht="18.75" x14ac:dyDescent="0.3">
      <c r="B493" s="1"/>
    </row>
    <row r="494" spans="2:2" ht="18.75" x14ac:dyDescent="0.3">
      <c r="B494" s="1"/>
    </row>
    <row r="495" spans="2:2" ht="18.75" x14ac:dyDescent="0.3">
      <c r="B495" s="1"/>
    </row>
    <row r="496" spans="2:2" ht="18.75" x14ac:dyDescent="0.3">
      <c r="B496" s="1"/>
    </row>
    <row r="497" spans="2:2" ht="18.75" x14ac:dyDescent="0.3">
      <c r="B497" s="1"/>
    </row>
    <row r="498" spans="2:2" ht="18.75" x14ac:dyDescent="0.3">
      <c r="B498" s="1"/>
    </row>
    <row r="499" spans="2:2" ht="18.75" x14ac:dyDescent="0.3">
      <c r="B499" s="1"/>
    </row>
    <row r="500" spans="2:2" ht="18.75" x14ac:dyDescent="0.3">
      <c r="B500" s="1"/>
    </row>
    <row r="501" spans="2:2" ht="18.75" x14ac:dyDescent="0.3">
      <c r="B501" s="1"/>
    </row>
    <row r="502" spans="2:2" ht="18.75" x14ac:dyDescent="0.3">
      <c r="B502" s="1"/>
    </row>
    <row r="503" spans="2:2" ht="18.75" x14ac:dyDescent="0.3">
      <c r="B503" s="1"/>
    </row>
    <row r="504" spans="2:2" ht="18.75" x14ac:dyDescent="0.3">
      <c r="B504" s="1"/>
    </row>
    <row r="505" spans="2:2" ht="18.75" x14ac:dyDescent="0.3">
      <c r="B505" s="1"/>
    </row>
    <row r="506" spans="2:2" ht="18.75" x14ac:dyDescent="0.3">
      <c r="B506" s="1"/>
    </row>
    <row r="507" spans="2:2" ht="18.75" x14ac:dyDescent="0.3">
      <c r="B507" s="1"/>
    </row>
    <row r="508" spans="2:2" ht="18.75" x14ac:dyDescent="0.3">
      <c r="B508" s="1"/>
    </row>
    <row r="509" spans="2:2" ht="18.75" x14ac:dyDescent="0.3">
      <c r="B509" s="1"/>
    </row>
    <row r="510" spans="2:2" ht="18.75" x14ac:dyDescent="0.3">
      <c r="B510" s="1"/>
    </row>
    <row r="511" spans="2:2" ht="18.75" x14ac:dyDescent="0.3">
      <c r="B511" s="1"/>
    </row>
    <row r="512" spans="2:2" ht="18.75" x14ac:dyDescent="0.3">
      <c r="B512" s="1"/>
    </row>
    <row r="513" spans="2:2" ht="18.75" x14ac:dyDescent="0.3">
      <c r="B513" s="1"/>
    </row>
    <row r="514" spans="2:2" ht="18.75" x14ac:dyDescent="0.3">
      <c r="B514" s="1"/>
    </row>
    <row r="515" spans="2:2" ht="18.75" x14ac:dyDescent="0.3">
      <c r="B515" s="1"/>
    </row>
    <row r="516" spans="2:2" ht="18.75" x14ac:dyDescent="0.3">
      <c r="B516" s="1"/>
    </row>
    <row r="517" spans="2:2" ht="18.75" x14ac:dyDescent="0.3">
      <c r="B517" s="1"/>
    </row>
    <row r="518" spans="2:2" ht="18.75" x14ac:dyDescent="0.3">
      <c r="B518" s="1"/>
    </row>
    <row r="519" spans="2:2" ht="18.75" x14ac:dyDescent="0.3">
      <c r="B519" s="1"/>
    </row>
    <row r="520" spans="2:2" ht="18.75" x14ac:dyDescent="0.3">
      <c r="B520" s="1"/>
    </row>
    <row r="521" spans="2:2" ht="18.75" x14ac:dyDescent="0.3">
      <c r="B521" s="1"/>
    </row>
    <row r="522" spans="2:2" ht="18.75" x14ac:dyDescent="0.3">
      <c r="B522" s="1"/>
    </row>
    <row r="523" spans="2:2" ht="18.75" x14ac:dyDescent="0.3">
      <c r="B523" s="1"/>
    </row>
    <row r="524" spans="2:2" ht="18.75" x14ac:dyDescent="0.3">
      <c r="B524" s="1"/>
    </row>
    <row r="525" spans="2:2" ht="18.75" x14ac:dyDescent="0.3">
      <c r="B525" s="1"/>
    </row>
    <row r="526" spans="2:2" ht="18.75" x14ac:dyDescent="0.3">
      <c r="B526" s="1"/>
    </row>
    <row r="527" spans="2:2" ht="18.75" x14ac:dyDescent="0.3">
      <c r="B527" s="1"/>
    </row>
    <row r="528" spans="2:2" ht="18.75" x14ac:dyDescent="0.3">
      <c r="B528" s="1"/>
    </row>
    <row r="529" spans="2:2" ht="18.75" x14ac:dyDescent="0.3">
      <c r="B529" s="1"/>
    </row>
    <row r="530" spans="2:2" ht="18.75" x14ac:dyDescent="0.3">
      <c r="B530" s="1"/>
    </row>
    <row r="531" spans="2:2" ht="18.75" x14ac:dyDescent="0.3">
      <c r="B531" s="1"/>
    </row>
    <row r="532" spans="2:2" ht="18.75" x14ac:dyDescent="0.3">
      <c r="B532" s="1"/>
    </row>
    <row r="533" spans="2:2" ht="18.75" x14ac:dyDescent="0.3">
      <c r="B533" s="1"/>
    </row>
    <row r="534" spans="2:2" ht="18.75" x14ac:dyDescent="0.3">
      <c r="B534" s="1"/>
    </row>
    <row r="535" spans="2:2" ht="18.75" x14ac:dyDescent="0.3">
      <c r="B535" s="1"/>
    </row>
    <row r="536" spans="2:2" ht="18.75" x14ac:dyDescent="0.3">
      <c r="B536" s="1"/>
    </row>
    <row r="537" spans="2:2" ht="18.75" x14ac:dyDescent="0.3">
      <c r="B537" s="1"/>
    </row>
    <row r="538" spans="2:2" ht="18.75" x14ac:dyDescent="0.3">
      <c r="B538" s="1"/>
    </row>
    <row r="539" spans="2:2" ht="18.75" x14ac:dyDescent="0.3">
      <c r="B539" s="1"/>
    </row>
    <row r="540" spans="2:2" ht="18.75" x14ac:dyDescent="0.3">
      <c r="B540" s="1"/>
    </row>
    <row r="541" spans="2:2" ht="18.75" x14ac:dyDescent="0.3">
      <c r="B541" s="1"/>
    </row>
    <row r="542" spans="2:2" ht="18.75" x14ac:dyDescent="0.3">
      <c r="B542" s="1"/>
    </row>
    <row r="543" spans="2:2" ht="18.75" x14ac:dyDescent="0.3">
      <c r="B543" s="1"/>
    </row>
    <row r="544" spans="2:2" ht="18.75" x14ac:dyDescent="0.3">
      <c r="B544" s="1"/>
    </row>
    <row r="545" spans="2:2" ht="18.75" x14ac:dyDescent="0.3">
      <c r="B545" s="1"/>
    </row>
    <row r="546" spans="2:2" ht="18.75" x14ac:dyDescent="0.3">
      <c r="B546" s="1"/>
    </row>
    <row r="547" spans="2:2" ht="18.75" x14ac:dyDescent="0.3">
      <c r="B547" s="1"/>
    </row>
    <row r="548" spans="2:2" ht="18.75" x14ac:dyDescent="0.3">
      <c r="B548" s="1"/>
    </row>
    <row r="549" spans="2:2" ht="18.75" x14ac:dyDescent="0.3">
      <c r="B549" s="1"/>
    </row>
    <row r="550" spans="2:2" ht="18.75" x14ac:dyDescent="0.3">
      <c r="B550" s="1"/>
    </row>
    <row r="551" spans="2:2" ht="18.75" x14ac:dyDescent="0.3">
      <c r="B551" s="1"/>
    </row>
    <row r="552" spans="2:2" ht="18.75" x14ac:dyDescent="0.3">
      <c r="B552" s="1"/>
    </row>
    <row r="553" spans="2:2" ht="18.75" x14ac:dyDescent="0.3">
      <c r="B553" s="1"/>
    </row>
    <row r="554" spans="2:2" ht="18.75" x14ac:dyDescent="0.3">
      <c r="B554" s="1"/>
    </row>
    <row r="555" spans="2:2" ht="18.75" x14ac:dyDescent="0.3">
      <c r="B555" s="1"/>
    </row>
    <row r="556" spans="2:2" ht="18.75" x14ac:dyDescent="0.3">
      <c r="B556" s="1"/>
    </row>
    <row r="557" spans="2:2" ht="18.75" x14ac:dyDescent="0.3">
      <c r="B557" s="1"/>
    </row>
    <row r="558" spans="2:2" ht="18.75" x14ac:dyDescent="0.3">
      <c r="B558" s="1"/>
    </row>
    <row r="559" spans="2:2" ht="18.75" x14ac:dyDescent="0.3">
      <c r="B559" s="1"/>
    </row>
    <row r="560" spans="2:2" ht="18.75" x14ac:dyDescent="0.3">
      <c r="B560" s="1"/>
    </row>
    <row r="561" spans="2:2" ht="18.75" x14ac:dyDescent="0.3">
      <c r="B561" s="1"/>
    </row>
    <row r="562" spans="2:2" ht="18.75" x14ac:dyDescent="0.3">
      <c r="B562" s="1"/>
    </row>
    <row r="563" spans="2:2" ht="18.75" x14ac:dyDescent="0.3">
      <c r="B563" s="1"/>
    </row>
    <row r="564" spans="2:2" ht="18.75" x14ac:dyDescent="0.3">
      <c r="B564" s="1"/>
    </row>
    <row r="565" spans="2:2" ht="18.75" x14ac:dyDescent="0.3">
      <c r="B565" s="1"/>
    </row>
    <row r="566" spans="2:2" ht="18.75" x14ac:dyDescent="0.3">
      <c r="B566" s="1"/>
    </row>
    <row r="567" spans="2:2" ht="18.75" x14ac:dyDescent="0.3">
      <c r="B567" s="1"/>
    </row>
    <row r="568" spans="2:2" ht="18.75" x14ac:dyDescent="0.3">
      <c r="B568" s="1"/>
    </row>
    <row r="569" spans="2:2" ht="18.75" x14ac:dyDescent="0.3">
      <c r="B569" s="1"/>
    </row>
    <row r="570" spans="2:2" ht="18.75" x14ac:dyDescent="0.3">
      <c r="B570" s="1"/>
    </row>
    <row r="571" spans="2:2" ht="18.75" x14ac:dyDescent="0.3">
      <c r="B571" s="1"/>
    </row>
    <row r="572" spans="2:2" ht="18.75" x14ac:dyDescent="0.3">
      <c r="B572" s="1"/>
    </row>
    <row r="573" spans="2:2" ht="18.75" x14ac:dyDescent="0.3">
      <c r="B573" s="1"/>
    </row>
    <row r="574" spans="2:2" ht="18.75" x14ac:dyDescent="0.3">
      <c r="B574" s="1"/>
    </row>
    <row r="575" spans="2:2" ht="18.75" x14ac:dyDescent="0.3">
      <c r="B575" s="1"/>
    </row>
    <row r="576" spans="2:2" ht="18.75" x14ac:dyDescent="0.3">
      <c r="B576" s="1"/>
    </row>
    <row r="577" spans="2:2" ht="18.75" x14ac:dyDescent="0.3">
      <c r="B577" s="1"/>
    </row>
    <row r="578" spans="2:2" ht="18.75" x14ac:dyDescent="0.3">
      <c r="B578" s="1"/>
    </row>
    <row r="579" spans="2:2" ht="18.75" x14ac:dyDescent="0.3">
      <c r="B579" s="1"/>
    </row>
    <row r="580" spans="2:2" ht="18.75" x14ac:dyDescent="0.3">
      <c r="B580" s="1"/>
    </row>
    <row r="581" spans="2:2" ht="18.75" x14ac:dyDescent="0.3">
      <c r="B581" s="1"/>
    </row>
    <row r="582" spans="2:2" ht="18.75" x14ac:dyDescent="0.3">
      <c r="B582" s="1"/>
    </row>
    <row r="583" spans="2:2" ht="18.75" x14ac:dyDescent="0.3">
      <c r="B583" s="1"/>
    </row>
    <row r="584" spans="2:2" ht="18.75" x14ac:dyDescent="0.3">
      <c r="B584" s="1"/>
    </row>
    <row r="585" spans="2:2" ht="18.75" x14ac:dyDescent="0.3">
      <c r="B585" s="1"/>
    </row>
    <row r="586" spans="2:2" ht="18.75" x14ac:dyDescent="0.3">
      <c r="B586" s="1"/>
    </row>
    <row r="587" spans="2:2" ht="18.75" x14ac:dyDescent="0.3">
      <c r="B587" s="1"/>
    </row>
    <row r="588" spans="2:2" ht="18.75" x14ac:dyDescent="0.3">
      <c r="B588" s="1"/>
    </row>
    <row r="589" spans="2:2" ht="18.75" x14ac:dyDescent="0.3">
      <c r="B589" s="1"/>
    </row>
    <row r="590" spans="2:2" ht="18.75" x14ac:dyDescent="0.3">
      <c r="B590" s="1"/>
    </row>
    <row r="591" spans="2:2" ht="18.75" x14ac:dyDescent="0.3">
      <c r="B591" s="1"/>
    </row>
    <row r="592" spans="2:2" ht="18.75" x14ac:dyDescent="0.3">
      <c r="B592" s="1"/>
    </row>
    <row r="593" spans="2:2" ht="18.75" x14ac:dyDescent="0.3">
      <c r="B593" s="1"/>
    </row>
    <row r="594" spans="2:2" ht="18.75" x14ac:dyDescent="0.3">
      <c r="B594" s="1"/>
    </row>
    <row r="595" spans="2:2" ht="18.75" x14ac:dyDescent="0.3">
      <c r="B595" s="1"/>
    </row>
    <row r="596" spans="2:2" ht="18.75" x14ac:dyDescent="0.3">
      <c r="B596" s="1"/>
    </row>
    <row r="597" spans="2:2" ht="18.75" x14ac:dyDescent="0.3">
      <c r="B597" s="1"/>
    </row>
    <row r="598" spans="2:2" ht="18.75" x14ac:dyDescent="0.3">
      <c r="B598" s="1"/>
    </row>
    <row r="599" spans="2:2" ht="18.75" x14ac:dyDescent="0.3">
      <c r="B599" s="1"/>
    </row>
    <row r="600" spans="2:2" ht="18.75" x14ac:dyDescent="0.3">
      <c r="B600" s="1"/>
    </row>
    <row r="601" spans="2:2" ht="18.75" x14ac:dyDescent="0.3">
      <c r="B601" s="1"/>
    </row>
    <row r="602" spans="2:2" ht="18.75" x14ac:dyDescent="0.3">
      <c r="B602" s="1"/>
    </row>
    <row r="603" spans="2:2" ht="18.75" x14ac:dyDescent="0.3">
      <c r="B603" s="1"/>
    </row>
    <row r="604" spans="2:2" ht="18.75" x14ac:dyDescent="0.3">
      <c r="B604" s="1"/>
    </row>
    <row r="605" spans="2:2" ht="18.75" x14ac:dyDescent="0.3">
      <c r="B605" s="1"/>
    </row>
    <row r="606" spans="2:2" ht="18.75" x14ac:dyDescent="0.3">
      <c r="B606" s="1"/>
    </row>
    <row r="607" spans="2:2" ht="18.75" x14ac:dyDescent="0.3">
      <c r="B607" s="1"/>
    </row>
    <row r="608" spans="2:2" ht="18.75" x14ac:dyDescent="0.3">
      <c r="B608" s="1"/>
    </row>
    <row r="609" spans="2:2" ht="18.75" x14ac:dyDescent="0.3">
      <c r="B609" s="1"/>
    </row>
  </sheetData>
  <sortState xmlns:xlrd2="http://schemas.microsoft.com/office/spreadsheetml/2017/richdata2" ref="A2:D609">
    <sortCondition ref="B1:B609" customList="January,February,March,April,May,June,July,August,September,October,November,December"/>
  </sortState>
  <phoneticPr fontId="3" type="noConversion"/>
  <conditionalFormatting sqref="B2:B500">
    <cfRule type="expression" dxfId="0" priority="1">
      <formula>COUNTIFS($A:$A,$A2,$B:$B,$B2)&gt;1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uplicate Month" error="This employee already has an evaluation for this month._x000a_" xr:uid="{D308DDFB-2069-4EE3-96CA-27D6FC9B55C5}">
          <x14:formula1>
            <xm:f>MONTHS!$A$2:$A$13</xm:f>
          </x14:formula1>
          <xm:sqref>B2:B500</xm:sqref>
        </x14:dataValidation>
        <x14:dataValidation type="list" allowBlank="1" showInputMessage="1" showErrorMessage="1" xr:uid="{0905466A-8A8D-4F39-A081-75CC61210F19}">
          <x14:formula1>
            <xm:f>MONTHS!$A$2:$A$13</xm:f>
          </x14:formula1>
          <xm:sqref>C51:C1000</xm:sqref>
        </x14:dataValidation>
        <x14:dataValidation type="list" allowBlank="1" showInputMessage="1" showErrorMessage="1" xr:uid="{8C8F7FE7-85D5-4397-BA52-F69E44F981A5}">
          <x14:formula1>
            <xm:f>EMPLOYEES!$A$2:$A$50</xm:f>
          </x14:formula1>
          <xm:sqref>A2:A32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E2B9-B6C2-49F5-A8FB-FB9127ECC38C}">
  <sheetPr codeName="Sheet5"/>
  <dimension ref="A1:G362"/>
  <sheetViews>
    <sheetView rightToLeft="1" workbookViewId="0">
      <selection activeCell="C18" sqref="C18"/>
    </sheetView>
  </sheetViews>
  <sheetFormatPr defaultRowHeight="15" x14ac:dyDescent="0.25"/>
  <cols>
    <col min="1" max="1" width="22.42578125" bestFit="1" customWidth="1"/>
    <col min="2" max="2" width="8.140625" bestFit="1" customWidth="1"/>
    <col min="3" max="3" width="69.5703125" bestFit="1" customWidth="1"/>
    <col min="4" max="4" width="9.7109375" customWidth="1"/>
    <col min="5" max="5" width="10" customWidth="1"/>
    <col min="6" max="6" width="13.85546875" customWidth="1"/>
    <col min="12" max="12" width="63.42578125" bestFit="1" customWidth="1"/>
  </cols>
  <sheetData>
    <row r="1" spans="1:7" ht="17.25" x14ac:dyDescent="0.3">
      <c r="A1" s="83" t="s">
        <v>0</v>
      </c>
      <c r="B1" s="84" t="s">
        <v>79</v>
      </c>
      <c r="C1" s="83" t="s">
        <v>93</v>
      </c>
      <c r="D1" s="85" t="s">
        <v>78</v>
      </c>
      <c r="E1" s="86" t="s">
        <v>92</v>
      </c>
      <c r="F1" s="83" t="s">
        <v>94</v>
      </c>
      <c r="G1" s="83" t="s">
        <v>95</v>
      </c>
    </row>
    <row r="2" spans="1:7" x14ac:dyDescent="0.25">
      <c r="A2" s="2" t="s">
        <v>36</v>
      </c>
      <c r="B2" s="2" t="s">
        <v>327</v>
      </c>
      <c r="C2" s="2" t="s">
        <v>200</v>
      </c>
      <c r="D2" s="2">
        <v>10</v>
      </c>
      <c r="E2" s="2">
        <v>10</v>
      </c>
      <c r="F2" s="2" t="s">
        <v>149</v>
      </c>
      <c r="G2" s="2"/>
    </row>
    <row r="3" spans="1:7" x14ac:dyDescent="0.25">
      <c r="A3" s="2" t="s">
        <v>36</v>
      </c>
      <c r="B3" s="2" t="s">
        <v>327</v>
      </c>
      <c r="C3" s="2" t="s">
        <v>201</v>
      </c>
      <c r="D3" s="2">
        <v>9</v>
      </c>
      <c r="E3" s="2">
        <v>9</v>
      </c>
      <c r="F3" s="2" t="s">
        <v>149</v>
      </c>
      <c r="G3" s="2"/>
    </row>
    <row r="4" spans="1:7" x14ac:dyDescent="0.25">
      <c r="A4" s="2" t="s">
        <v>36</v>
      </c>
      <c r="B4" s="2" t="s">
        <v>327</v>
      </c>
      <c r="C4" s="2" t="s">
        <v>202</v>
      </c>
      <c r="D4" s="2">
        <v>9</v>
      </c>
      <c r="E4" s="2">
        <v>9</v>
      </c>
      <c r="F4" s="2" t="s">
        <v>149</v>
      </c>
      <c r="G4" s="2"/>
    </row>
    <row r="5" spans="1:7" x14ac:dyDescent="0.25">
      <c r="A5" s="2" t="s">
        <v>36</v>
      </c>
      <c r="B5" s="2" t="s">
        <v>327</v>
      </c>
      <c r="C5" s="2" t="s">
        <v>203</v>
      </c>
      <c r="D5" s="2">
        <v>8</v>
      </c>
      <c r="E5" s="2">
        <v>8</v>
      </c>
      <c r="F5" s="2" t="s">
        <v>149</v>
      </c>
      <c r="G5" s="2"/>
    </row>
    <row r="6" spans="1:7" x14ac:dyDescent="0.25">
      <c r="A6" s="2" t="s">
        <v>36</v>
      </c>
      <c r="B6" s="2" t="s">
        <v>327</v>
      </c>
      <c r="C6" s="2" t="s">
        <v>204</v>
      </c>
      <c r="D6" s="2">
        <v>8</v>
      </c>
      <c r="E6" s="2">
        <v>8</v>
      </c>
      <c r="F6" s="2" t="s">
        <v>149</v>
      </c>
      <c r="G6" s="2"/>
    </row>
    <row r="7" spans="1:7" x14ac:dyDescent="0.25">
      <c r="A7" s="2" t="s">
        <v>36</v>
      </c>
      <c r="B7" s="2" t="s">
        <v>327</v>
      </c>
      <c r="C7" s="2" t="s">
        <v>205</v>
      </c>
      <c r="D7" s="2">
        <v>7</v>
      </c>
      <c r="E7" s="2">
        <v>7</v>
      </c>
      <c r="F7" s="2" t="s">
        <v>149</v>
      </c>
      <c r="G7" s="2"/>
    </row>
    <row r="8" spans="1:7" x14ac:dyDescent="0.25">
      <c r="A8" s="2" t="s">
        <v>36</v>
      </c>
      <c r="B8" s="2" t="s">
        <v>327</v>
      </c>
      <c r="C8" s="2" t="s">
        <v>206</v>
      </c>
      <c r="D8" s="2">
        <v>8</v>
      </c>
      <c r="E8" s="2">
        <v>8</v>
      </c>
      <c r="F8" s="2" t="s">
        <v>149</v>
      </c>
      <c r="G8" s="2"/>
    </row>
    <row r="9" spans="1:7" x14ac:dyDescent="0.25">
      <c r="A9" s="2" t="s">
        <v>36</v>
      </c>
      <c r="B9" s="2" t="s">
        <v>327</v>
      </c>
      <c r="C9" s="2" t="s">
        <v>207</v>
      </c>
      <c r="D9" s="2">
        <v>7</v>
      </c>
      <c r="E9" s="2">
        <v>7</v>
      </c>
      <c r="F9" s="2" t="s">
        <v>149</v>
      </c>
      <c r="G9" s="2"/>
    </row>
    <row r="10" spans="1:7" x14ac:dyDescent="0.25">
      <c r="A10" s="2" t="s">
        <v>36</v>
      </c>
      <c r="B10" s="2" t="s">
        <v>327</v>
      </c>
      <c r="C10" s="2" t="s">
        <v>208</v>
      </c>
      <c r="D10" s="2">
        <v>7</v>
      </c>
      <c r="E10" s="2">
        <v>7</v>
      </c>
      <c r="F10" s="2" t="s">
        <v>149</v>
      </c>
      <c r="G10" s="2"/>
    </row>
    <row r="11" spans="1:7" x14ac:dyDescent="0.25">
      <c r="A11" s="2" t="s">
        <v>36</v>
      </c>
      <c r="B11" s="2" t="s">
        <v>327</v>
      </c>
      <c r="C11" s="2" t="s">
        <v>209</v>
      </c>
      <c r="D11" s="2">
        <v>7</v>
      </c>
      <c r="E11" s="2">
        <v>7</v>
      </c>
      <c r="F11" s="2" t="s">
        <v>149</v>
      </c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  <row r="89" spans="1:7" x14ac:dyDescent="0.25">
      <c r="A89" s="2"/>
      <c r="B89" s="2"/>
      <c r="C89" s="2"/>
      <c r="D89" s="2"/>
      <c r="E89" s="2"/>
      <c r="F89" s="2"/>
      <c r="G89" s="2"/>
    </row>
    <row r="90" spans="1:7" x14ac:dyDescent="0.25">
      <c r="A90" s="2"/>
      <c r="B90" s="2"/>
      <c r="C90" s="2"/>
      <c r="D90" s="2"/>
      <c r="E90" s="2"/>
      <c r="F90" s="2"/>
      <c r="G90" s="2"/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2"/>
      <c r="B92" s="2"/>
      <c r="C92" s="2"/>
      <c r="D92" s="2"/>
      <c r="E92" s="2"/>
      <c r="F92" s="2"/>
      <c r="G92" s="2"/>
    </row>
    <row r="93" spans="1:7" x14ac:dyDescent="0.25">
      <c r="A93" s="2"/>
      <c r="B93" s="2"/>
      <c r="C93" s="2"/>
      <c r="D93" s="2"/>
      <c r="E93" s="2"/>
      <c r="F93" s="2"/>
      <c r="G93" s="2"/>
    </row>
    <row r="94" spans="1:7" x14ac:dyDescent="0.25">
      <c r="A94" s="2"/>
      <c r="B94" s="2"/>
      <c r="C94" s="2"/>
      <c r="D94" s="2"/>
      <c r="E94" s="2"/>
      <c r="F94" s="2"/>
      <c r="G94" s="2"/>
    </row>
    <row r="95" spans="1:7" x14ac:dyDescent="0.25">
      <c r="A95" s="2"/>
      <c r="B95" s="2"/>
      <c r="C95" s="2"/>
      <c r="D95" s="2"/>
      <c r="E95" s="2"/>
      <c r="F95" s="2"/>
      <c r="G95" s="2"/>
    </row>
    <row r="96" spans="1:7" x14ac:dyDescent="0.25">
      <c r="A96" s="2"/>
      <c r="B96" s="2"/>
      <c r="C96" s="2"/>
      <c r="D96" s="2"/>
      <c r="E96" s="2"/>
      <c r="F96" s="2"/>
      <c r="G96" s="2"/>
    </row>
    <row r="97" spans="1:7" x14ac:dyDescent="0.25">
      <c r="A97" s="2"/>
      <c r="B97" s="2"/>
      <c r="C97" s="2"/>
      <c r="D97" s="2"/>
      <c r="E97" s="2"/>
      <c r="F97" s="2"/>
      <c r="G97" s="2"/>
    </row>
    <row r="98" spans="1:7" x14ac:dyDescent="0.25">
      <c r="A98" s="2"/>
      <c r="B98" s="2"/>
      <c r="C98" s="2"/>
      <c r="D98" s="2"/>
      <c r="E98" s="2"/>
      <c r="F98" s="2"/>
      <c r="G98" s="2"/>
    </row>
    <row r="99" spans="1:7" x14ac:dyDescent="0.25">
      <c r="A99" s="2"/>
      <c r="B99" s="2"/>
      <c r="C99" s="2"/>
      <c r="D99" s="2"/>
      <c r="E99" s="2"/>
      <c r="F99" s="2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  <row r="101" spans="1:7" x14ac:dyDescent="0.25">
      <c r="A101" s="2"/>
      <c r="B101" s="2"/>
      <c r="C101" s="2"/>
      <c r="D101" s="2"/>
      <c r="E101" s="2"/>
      <c r="F101" s="2"/>
      <c r="G101" s="2"/>
    </row>
    <row r="102" spans="1:7" x14ac:dyDescent="0.25">
      <c r="A102" s="2"/>
      <c r="B102" s="2"/>
      <c r="C102" s="2"/>
      <c r="D102" s="2"/>
      <c r="E102" s="2"/>
      <c r="F102" s="2"/>
      <c r="G102" s="2"/>
    </row>
    <row r="103" spans="1:7" x14ac:dyDescent="0.25">
      <c r="A103" s="2"/>
      <c r="B103" s="2"/>
      <c r="C103" s="2"/>
      <c r="D103" s="2"/>
      <c r="E103" s="2"/>
      <c r="F103" s="2"/>
      <c r="G103" s="2"/>
    </row>
    <row r="104" spans="1:7" x14ac:dyDescent="0.25">
      <c r="A104" s="2"/>
      <c r="B104" s="2"/>
      <c r="C104" s="2"/>
      <c r="D104" s="2"/>
      <c r="E104" s="2"/>
      <c r="F104" s="2"/>
      <c r="G104" s="2"/>
    </row>
    <row r="105" spans="1:7" x14ac:dyDescent="0.25">
      <c r="A105" s="2"/>
      <c r="B105" s="2"/>
      <c r="C105" s="2"/>
      <c r="D105" s="2"/>
      <c r="E105" s="2"/>
      <c r="F105" s="2"/>
      <c r="G105" s="2"/>
    </row>
    <row r="106" spans="1:7" x14ac:dyDescent="0.25">
      <c r="A106" s="2"/>
      <c r="B106" s="2"/>
      <c r="C106" s="2"/>
      <c r="D106" s="2"/>
      <c r="E106" s="2"/>
      <c r="F106" s="2"/>
      <c r="G106" s="2"/>
    </row>
    <row r="107" spans="1:7" x14ac:dyDescent="0.25">
      <c r="A107" s="2"/>
      <c r="B107" s="2"/>
      <c r="C107" s="2"/>
      <c r="D107" s="2"/>
      <c r="E107" s="2"/>
      <c r="F107" s="2"/>
      <c r="G107" s="2"/>
    </row>
    <row r="108" spans="1:7" x14ac:dyDescent="0.25">
      <c r="A108" s="2"/>
      <c r="B108" s="2"/>
      <c r="C108" s="2"/>
      <c r="D108" s="2"/>
      <c r="E108" s="2"/>
      <c r="F108" s="2"/>
      <c r="G108" s="2"/>
    </row>
    <row r="109" spans="1:7" x14ac:dyDescent="0.25">
      <c r="A109" s="2"/>
      <c r="B109" s="2"/>
      <c r="C109" s="2"/>
      <c r="D109" s="2"/>
      <c r="E109" s="2"/>
      <c r="F109" s="2"/>
      <c r="G109" s="2"/>
    </row>
    <row r="110" spans="1:7" x14ac:dyDescent="0.25">
      <c r="A110" s="2"/>
      <c r="B110" s="2"/>
      <c r="C110" s="2"/>
      <c r="D110" s="2"/>
      <c r="E110" s="2"/>
      <c r="F110" s="2"/>
      <c r="G110" s="2"/>
    </row>
    <row r="111" spans="1:7" x14ac:dyDescent="0.25">
      <c r="A111" s="2"/>
      <c r="B111" s="2"/>
      <c r="C111" s="2"/>
      <c r="D111" s="2"/>
      <c r="E111" s="2"/>
      <c r="F111" s="2"/>
      <c r="G111" s="2"/>
    </row>
    <row r="112" spans="1:7" x14ac:dyDescent="0.25">
      <c r="A112" s="2"/>
      <c r="B112" s="2"/>
      <c r="C112" s="2"/>
      <c r="D112" s="2"/>
      <c r="E112" s="2"/>
      <c r="F112" s="2"/>
      <c r="G112" s="2"/>
    </row>
    <row r="113" spans="1:7" x14ac:dyDescent="0.25">
      <c r="A113" s="2"/>
      <c r="B113" s="2"/>
      <c r="C113" s="2"/>
      <c r="D113" s="2"/>
      <c r="E113" s="2"/>
      <c r="F113" s="2"/>
      <c r="G113" s="2"/>
    </row>
    <row r="114" spans="1:7" x14ac:dyDescent="0.25">
      <c r="A114" s="2"/>
      <c r="B114" s="2"/>
      <c r="C114" s="2"/>
      <c r="D114" s="2"/>
      <c r="E114" s="2"/>
      <c r="F114" s="2"/>
      <c r="G114" s="2"/>
    </row>
    <row r="115" spans="1:7" x14ac:dyDescent="0.25">
      <c r="A115" s="2"/>
      <c r="B115" s="2"/>
      <c r="C115" s="2"/>
      <c r="D115" s="2"/>
      <c r="E115" s="2"/>
      <c r="F115" s="2"/>
      <c r="G115" s="2"/>
    </row>
    <row r="116" spans="1:7" x14ac:dyDescent="0.25">
      <c r="A116" s="2"/>
      <c r="B116" s="2"/>
      <c r="C116" s="2"/>
      <c r="D116" s="2"/>
      <c r="E116" s="2"/>
      <c r="F116" s="2"/>
      <c r="G116" s="2"/>
    </row>
    <row r="117" spans="1:7" x14ac:dyDescent="0.25">
      <c r="A117" s="2"/>
      <c r="B117" s="2"/>
      <c r="C117" s="2"/>
      <c r="D117" s="2"/>
      <c r="E117" s="2"/>
      <c r="F117" s="2"/>
      <c r="G117" s="2"/>
    </row>
    <row r="118" spans="1:7" x14ac:dyDescent="0.25">
      <c r="A118" s="2"/>
      <c r="B118" s="2"/>
      <c r="C118" s="2"/>
      <c r="D118" s="2"/>
      <c r="E118" s="2"/>
      <c r="F118" s="2"/>
      <c r="G118" s="2"/>
    </row>
    <row r="119" spans="1:7" x14ac:dyDescent="0.25">
      <c r="A119" s="2"/>
      <c r="B119" s="2"/>
      <c r="C119" s="2"/>
      <c r="D119" s="2"/>
      <c r="E119" s="2"/>
      <c r="F119" s="2"/>
      <c r="G119" s="2"/>
    </row>
    <row r="120" spans="1:7" x14ac:dyDescent="0.25">
      <c r="A120" s="2"/>
      <c r="B120" s="2"/>
      <c r="C120" s="2"/>
      <c r="D120" s="2"/>
      <c r="E120" s="2"/>
      <c r="F120" s="2"/>
      <c r="G120" s="2"/>
    </row>
    <row r="121" spans="1:7" x14ac:dyDescent="0.25">
      <c r="A121" s="2"/>
      <c r="B121" s="2"/>
      <c r="C121" s="2"/>
      <c r="D121" s="2"/>
      <c r="E121" s="2"/>
      <c r="F121" s="2"/>
      <c r="G121" s="2"/>
    </row>
    <row r="122" spans="1:7" x14ac:dyDescent="0.25">
      <c r="A122" s="2"/>
      <c r="B122" s="2"/>
      <c r="C122" s="2"/>
      <c r="D122" s="2"/>
      <c r="E122" s="2"/>
      <c r="F122" s="2"/>
      <c r="G122" s="2"/>
    </row>
    <row r="123" spans="1:7" x14ac:dyDescent="0.25">
      <c r="A123" s="2"/>
      <c r="B123" s="2"/>
      <c r="C123" s="2"/>
      <c r="D123" s="2"/>
      <c r="E123" s="2"/>
      <c r="F123" s="2"/>
      <c r="G123" s="2"/>
    </row>
    <row r="124" spans="1:7" x14ac:dyDescent="0.25">
      <c r="A124" s="2"/>
      <c r="B124" s="2"/>
      <c r="C124" s="2"/>
      <c r="D124" s="2"/>
      <c r="E124" s="2"/>
      <c r="F124" s="2"/>
      <c r="G124" s="2"/>
    </row>
    <row r="125" spans="1:7" x14ac:dyDescent="0.25">
      <c r="A125" s="2"/>
      <c r="B125" s="2"/>
      <c r="C125" s="2"/>
      <c r="D125" s="2"/>
      <c r="E125" s="2"/>
      <c r="F125" s="2"/>
      <c r="G125" s="2"/>
    </row>
    <row r="126" spans="1:7" x14ac:dyDescent="0.25">
      <c r="A126" s="2"/>
      <c r="B126" s="2"/>
      <c r="C126" s="2"/>
      <c r="D126" s="2"/>
      <c r="E126" s="2"/>
      <c r="F126" s="2"/>
      <c r="G126" s="2"/>
    </row>
    <row r="127" spans="1:7" x14ac:dyDescent="0.25">
      <c r="A127" s="2"/>
      <c r="B127" s="2"/>
      <c r="C127" s="2"/>
      <c r="D127" s="2"/>
      <c r="E127" s="2"/>
      <c r="F127" s="2"/>
      <c r="G127" s="2"/>
    </row>
    <row r="128" spans="1:7" x14ac:dyDescent="0.25">
      <c r="A128" s="2"/>
      <c r="B128" s="2"/>
      <c r="C128" s="2"/>
      <c r="D128" s="2"/>
      <c r="E128" s="2"/>
      <c r="F128" s="2"/>
      <c r="G128" s="2"/>
    </row>
    <row r="129" spans="1:7" x14ac:dyDescent="0.25">
      <c r="A129" s="2"/>
      <c r="B129" s="2"/>
      <c r="C129" s="2"/>
      <c r="D129" s="2"/>
      <c r="E129" s="2"/>
      <c r="F129" s="2"/>
      <c r="G129" s="2"/>
    </row>
    <row r="130" spans="1:7" x14ac:dyDescent="0.25">
      <c r="A130" s="2"/>
      <c r="B130" s="2"/>
      <c r="C130" s="2"/>
      <c r="D130" s="2"/>
      <c r="E130" s="2"/>
      <c r="F130" s="2"/>
      <c r="G130" s="2"/>
    </row>
    <row r="131" spans="1:7" x14ac:dyDescent="0.25">
      <c r="A131" s="2"/>
      <c r="B131" s="2"/>
      <c r="C131" s="2"/>
      <c r="D131" s="2"/>
      <c r="E131" s="2"/>
      <c r="F131" s="2"/>
      <c r="G131" s="2"/>
    </row>
    <row r="132" spans="1:7" x14ac:dyDescent="0.25">
      <c r="A132" s="2"/>
      <c r="B132" s="2"/>
      <c r="C132" s="2"/>
      <c r="D132" s="2"/>
      <c r="E132" s="2"/>
      <c r="F132" s="2"/>
      <c r="G132" s="2"/>
    </row>
    <row r="133" spans="1:7" x14ac:dyDescent="0.25">
      <c r="A133" s="2"/>
      <c r="B133" s="2"/>
      <c r="C133" s="2"/>
      <c r="D133" s="2"/>
      <c r="E133" s="2"/>
      <c r="F133" s="2"/>
      <c r="G133" s="2"/>
    </row>
    <row r="134" spans="1:7" x14ac:dyDescent="0.25">
      <c r="A134" s="2"/>
      <c r="B134" s="2"/>
      <c r="C134" s="2"/>
      <c r="D134" s="2"/>
      <c r="E134" s="2"/>
      <c r="F134" s="2"/>
      <c r="G134" s="2"/>
    </row>
    <row r="135" spans="1:7" x14ac:dyDescent="0.25">
      <c r="A135" s="2"/>
      <c r="B135" s="2"/>
      <c r="C135" s="2"/>
      <c r="D135" s="2"/>
      <c r="E135" s="2"/>
      <c r="F135" s="2"/>
      <c r="G135" s="2"/>
    </row>
    <row r="136" spans="1:7" x14ac:dyDescent="0.25">
      <c r="A136" s="2"/>
      <c r="B136" s="2"/>
      <c r="C136" s="2"/>
      <c r="D136" s="2"/>
      <c r="E136" s="2"/>
      <c r="F136" s="2"/>
      <c r="G136" s="2"/>
    </row>
    <row r="137" spans="1:7" x14ac:dyDescent="0.25">
      <c r="A137" s="2"/>
      <c r="B137" s="2"/>
      <c r="C137" s="2"/>
      <c r="D137" s="2"/>
      <c r="E137" s="2"/>
      <c r="F137" s="2"/>
      <c r="G137" s="2"/>
    </row>
    <row r="138" spans="1:7" x14ac:dyDescent="0.25">
      <c r="A138" s="2"/>
      <c r="B138" s="2"/>
      <c r="C138" s="2"/>
      <c r="D138" s="2"/>
      <c r="E138" s="2"/>
      <c r="F138" s="2"/>
      <c r="G138" s="2"/>
    </row>
    <row r="139" spans="1:7" x14ac:dyDescent="0.25">
      <c r="A139" s="2"/>
      <c r="B139" s="2"/>
      <c r="C139" s="2"/>
      <c r="D139" s="2"/>
      <c r="E139" s="2"/>
      <c r="F139" s="2"/>
      <c r="G139" s="2"/>
    </row>
    <row r="140" spans="1:7" x14ac:dyDescent="0.25">
      <c r="A140" s="2"/>
      <c r="B140" s="2"/>
      <c r="C140" s="2"/>
      <c r="D140" s="2"/>
      <c r="E140" s="2"/>
      <c r="F140" s="2"/>
      <c r="G140" s="2"/>
    </row>
    <row r="141" spans="1:7" x14ac:dyDescent="0.25">
      <c r="A141" s="2"/>
      <c r="B141" s="2"/>
      <c r="C141" s="2"/>
      <c r="D141" s="2"/>
      <c r="E141" s="2"/>
      <c r="F141" s="2"/>
      <c r="G141" s="2"/>
    </row>
    <row r="142" spans="1:7" x14ac:dyDescent="0.25">
      <c r="A142" s="2"/>
      <c r="B142" s="2"/>
      <c r="C142" s="2"/>
      <c r="D142" s="2"/>
      <c r="E142" s="2"/>
      <c r="F142" s="2"/>
      <c r="G142" s="2"/>
    </row>
    <row r="143" spans="1:7" x14ac:dyDescent="0.25">
      <c r="A143" s="2"/>
      <c r="B143" s="2"/>
      <c r="C143" s="2"/>
      <c r="D143" s="2"/>
      <c r="E143" s="2"/>
      <c r="F143" s="2"/>
      <c r="G143" s="2"/>
    </row>
    <row r="144" spans="1:7" x14ac:dyDescent="0.25">
      <c r="A144" s="2"/>
      <c r="B144" s="2"/>
      <c r="C144" s="2"/>
      <c r="D144" s="2"/>
      <c r="E144" s="2"/>
      <c r="F144" s="2"/>
      <c r="G144" s="2"/>
    </row>
    <row r="145" spans="1:7" x14ac:dyDescent="0.25">
      <c r="A145" s="2"/>
      <c r="B145" s="2"/>
      <c r="C145" s="2"/>
      <c r="D145" s="2"/>
      <c r="E145" s="2"/>
      <c r="F145" s="2"/>
      <c r="G145" s="2"/>
    </row>
    <row r="146" spans="1:7" x14ac:dyDescent="0.25">
      <c r="A146" s="2"/>
      <c r="B146" s="2"/>
      <c r="C146" s="2"/>
      <c r="D146" s="2"/>
      <c r="E146" s="2"/>
      <c r="F146" s="2"/>
      <c r="G146" s="2"/>
    </row>
    <row r="147" spans="1:7" x14ac:dyDescent="0.25">
      <c r="A147" s="2"/>
      <c r="B147" s="2"/>
      <c r="C147" s="2"/>
      <c r="D147" s="2"/>
      <c r="E147" s="2"/>
      <c r="F147" s="2"/>
      <c r="G147" s="2"/>
    </row>
    <row r="148" spans="1:7" x14ac:dyDescent="0.25">
      <c r="A148" s="2"/>
      <c r="B148" s="2"/>
      <c r="C148" s="2"/>
      <c r="D148" s="2"/>
      <c r="E148" s="2"/>
      <c r="F148" s="2"/>
      <c r="G148" s="2"/>
    </row>
    <row r="149" spans="1:7" x14ac:dyDescent="0.25">
      <c r="A149" s="2"/>
      <c r="B149" s="2"/>
      <c r="C149" s="2"/>
      <c r="D149" s="2"/>
      <c r="E149" s="2"/>
      <c r="F149" s="2"/>
      <c r="G149" s="2"/>
    </row>
    <row r="150" spans="1:7" x14ac:dyDescent="0.25">
      <c r="A150" s="2"/>
      <c r="B150" s="2"/>
      <c r="C150" s="2"/>
      <c r="D150" s="2"/>
      <c r="E150" s="2"/>
      <c r="F150" s="2"/>
      <c r="G150" s="2"/>
    </row>
    <row r="151" spans="1:7" x14ac:dyDescent="0.25">
      <c r="A151" s="2"/>
      <c r="B151" s="2"/>
      <c r="C151" s="2"/>
      <c r="D151" s="2"/>
      <c r="E151" s="2"/>
      <c r="F151" s="2"/>
      <c r="G151" s="2"/>
    </row>
    <row r="152" spans="1:7" x14ac:dyDescent="0.25">
      <c r="A152" s="2"/>
      <c r="B152" s="2"/>
      <c r="C152" s="2"/>
      <c r="D152" s="2"/>
      <c r="E152" s="2"/>
      <c r="F152" s="2"/>
      <c r="G152" s="2"/>
    </row>
    <row r="153" spans="1:7" x14ac:dyDescent="0.25">
      <c r="A153" s="2"/>
      <c r="B153" s="2"/>
      <c r="C153" s="2"/>
      <c r="D153" s="2"/>
      <c r="E153" s="2"/>
      <c r="F153" s="2"/>
      <c r="G153" s="2"/>
    </row>
    <row r="154" spans="1:7" x14ac:dyDescent="0.25">
      <c r="A154" s="2"/>
      <c r="B154" s="2"/>
      <c r="C154" s="2"/>
      <c r="D154" s="2"/>
      <c r="E154" s="2"/>
      <c r="F154" s="2"/>
      <c r="G154" s="2"/>
    </row>
    <row r="155" spans="1:7" x14ac:dyDescent="0.25">
      <c r="A155" s="2"/>
      <c r="B155" s="2"/>
      <c r="C155" s="2"/>
      <c r="D155" s="2"/>
      <c r="E155" s="2"/>
      <c r="F155" s="2"/>
      <c r="G155" s="2"/>
    </row>
    <row r="156" spans="1:7" x14ac:dyDescent="0.25">
      <c r="A156" s="2"/>
      <c r="B156" s="2"/>
      <c r="C156" s="2"/>
      <c r="D156" s="2"/>
      <c r="E156" s="2"/>
      <c r="F156" s="2"/>
      <c r="G156" s="2"/>
    </row>
    <row r="157" spans="1:7" x14ac:dyDescent="0.25">
      <c r="A157" s="2"/>
      <c r="B157" s="2"/>
      <c r="C157" s="2"/>
      <c r="D157" s="2"/>
      <c r="E157" s="2"/>
      <c r="F157" s="2"/>
      <c r="G157" s="2"/>
    </row>
    <row r="158" spans="1:7" x14ac:dyDescent="0.25">
      <c r="A158" s="2"/>
      <c r="B158" s="2"/>
      <c r="C158" s="2"/>
      <c r="D158" s="2"/>
      <c r="E158" s="2"/>
      <c r="F158" s="2"/>
      <c r="G158" s="2"/>
    </row>
    <row r="159" spans="1:7" x14ac:dyDescent="0.25">
      <c r="A159" s="2"/>
      <c r="B159" s="2"/>
      <c r="C159" s="2"/>
      <c r="D159" s="2"/>
      <c r="E159" s="2"/>
      <c r="F159" s="2"/>
      <c r="G159" s="2"/>
    </row>
    <row r="160" spans="1:7" x14ac:dyDescent="0.25">
      <c r="A160" s="2"/>
      <c r="B160" s="2"/>
      <c r="C160" s="2"/>
      <c r="D160" s="2"/>
      <c r="E160" s="2"/>
      <c r="F160" s="2"/>
      <c r="G160" s="2"/>
    </row>
    <row r="161" spans="1:7" x14ac:dyDescent="0.25">
      <c r="A161" s="2"/>
      <c r="B161" s="2"/>
      <c r="C161" s="2"/>
      <c r="D161" s="2"/>
      <c r="E161" s="2"/>
      <c r="F161" s="2"/>
      <c r="G161" s="2"/>
    </row>
    <row r="162" spans="1:7" x14ac:dyDescent="0.25">
      <c r="A162" s="2"/>
      <c r="B162" s="2"/>
      <c r="C162" s="2"/>
      <c r="D162" s="2"/>
      <c r="E162" s="2"/>
      <c r="F162" s="2"/>
      <c r="G162" s="2"/>
    </row>
    <row r="163" spans="1:7" x14ac:dyDescent="0.25">
      <c r="A163" s="2"/>
      <c r="B163" s="2"/>
      <c r="C163" s="2"/>
      <c r="D163" s="2"/>
      <c r="E163" s="2"/>
      <c r="F163" s="2"/>
      <c r="G163" s="2"/>
    </row>
    <row r="164" spans="1:7" x14ac:dyDescent="0.25">
      <c r="A164" s="2"/>
      <c r="B164" s="2"/>
      <c r="C164" s="2"/>
      <c r="D164" s="2"/>
      <c r="E164" s="2"/>
      <c r="F164" s="2"/>
      <c r="G164" s="2"/>
    </row>
    <row r="165" spans="1:7" x14ac:dyDescent="0.25">
      <c r="A165" s="2"/>
      <c r="B165" s="2"/>
      <c r="C165" s="2"/>
      <c r="D165" s="2"/>
      <c r="E165" s="2"/>
      <c r="F165" s="2"/>
      <c r="G165" s="2"/>
    </row>
    <row r="166" spans="1:7" x14ac:dyDescent="0.25">
      <c r="A166" s="2"/>
      <c r="B166" s="2"/>
      <c r="C166" s="2"/>
      <c r="D166" s="2"/>
      <c r="E166" s="2"/>
      <c r="F166" s="2"/>
      <c r="G166" s="2"/>
    </row>
    <row r="167" spans="1:7" x14ac:dyDescent="0.25">
      <c r="A167" s="2"/>
      <c r="B167" s="2"/>
      <c r="C167" s="2"/>
      <c r="D167" s="2"/>
      <c r="E167" s="2"/>
      <c r="F167" s="2"/>
      <c r="G167" s="2"/>
    </row>
    <row r="168" spans="1:7" x14ac:dyDescent="0.25">
      <c r="A168" s="2"/>
      <c r="B168" s="2"/>
      <c r="C168" s="2"/>
      <c r="D168" s="2"/>
      <c r="E168" s="2"/>
      <c r="F168" s="2"/>
      <c r="G168" s="2"/>
    </row>
    <row r="169" spans="1:7" x14ac:dyDescent="0.25">
      <c r="A169" s="2"/>
      <c r="B169" s="2"/>
      <c r="C169" s="2"/>
      <c r="D169" s="2"/>
      <c r="E169" s="2"/>
      <c r="F169" s="2"/>
      <c r="G169" s="2"/>
    </row>
    <row r="170" spans="1:7" x14ac:dyDescent="0.25">
      <c r="A170" s="2"/>
      <c r="B170" s="2"/>
      <c r="C170" s="2"/>
      <c r="D170" s="2"/>
      <c r="E170" s="2"/>
      <c r="F170" s="2"/>
      <c r="G170" s="2"/>
    </row>
    <row r="171" spans="1:7" x14ac:dyDescent="0.25">
      <c r="A171" s="2"/>
      <c r="B171" s="2"/>
      <c r="C171" s="2"/>
      <c r="D171" s="2"/>
      <c r="E171" s="2"/>
      <c r="F171" s="2"/>
      <c r="G171" s="2"/>
    </row>
    <row r="172" spans="1:7" x14ac:dyDescent="0.25">
      <c r="A172" s="2"/>
      <c r="B172" s="2"/>
      <c r="C172" s="2"/>
      <c r="D172" s="2"/>
      <c r="E172" s="2"/>
      <c r="F172" s="2"/>
      <c r="G172" s="2"/>
    </row>
    <row r="173" spans="1:7" x14ac:dyDescent="0.25">
      <c r="A173" s="2"/>
      <c r="B173" s="2"/>
      <c r="C173" s="2"/>
      <c r="D173" s="2"/>
      <c r="E173" s="2"/>
      <c r="F173" s="2"/>
      <c r="G173" s="2"/>
    </row>
    <row r="174" spans="1:7" x14ac:dyDescent="0.25">
      <c r="A174" s="2"/>
      <c r="B174" s="2"/>
      <c r="C174" s="2"/>
      <c r="D174" s="2"/>
      <c r="E174" s="2"/>
      <c r="F174" s="2"/>
      <c r="G174" s="2"/>
    </row>
    <row r="175" spans="1:7" x14ac:dyDescent="0.25">
      <c r="A175" s="2"/>
      <c r="B175" s="2"/>
      <c r="C175" s="2"/>
      <c r="D175" s="2"/>
      <c r="E175" s="2"/>
      <c r="F175" s="2"/>
      <c r="G175" s="2"/>
    </row>
    <row r="176" spans="1:7" x14ac:dyDescent="0.25">
      <c r="A176" s="2"/>
      <c r="B176" s="2"/>
      <c r="C176" s="2"/>
      <c r="D176" s="2"/>
      <c r="E176" s="2"/>
      <c r="F176" s="2"/>
      <c r="G176" s="2"/>
    </row>
    <row r="177" spans="1:7" x14ac:dyDescent="0.25">
      <c r="A177" s="2"/>
      <c r="B177" s="2"/>
      <c r="C177" s="2"/>
      <c r="D177" s="2"/>
      <c r="E177" s="2"/>
      <c r="F177" s="2"/>
      <c r="G177" s="2"/>
    </row>
    <row r="178" spans="1:7" x14ac:dyDescent="0.25">
      <c r="A178" s="2"/>
      <c r="B178" s="2"/>
      <c r="C178" s="2"/>
      <c r="D178" s="2"/>
      <c r="E178" s="2"/>
      <c r="F178" s="2"/>
      <c r="G178" s="2"/>
    </row>
    <row r="179" spans="1:7" x14ac:dyDescent="0.25">
      <c r="A179" s="2"/>
      <c r="B179" s="2"/>
      <c r="C179" s="2"/>
      <c r="D179" s="2"/>
      <c r="E179" s="2"/>
      <c r="F179" s="2"/>
      <c r="G179" s="2"/>
    </row>
    <row r="180" spans="1:7" x14ac:dyDescent="0.25">
      <c r="A180" s="2"/>
      <c r="B180" s="2"/>
      <c r="C180" s="2"/>
      <c r="D180" s="2"/>
      <c r="E180" s="2"/>
      <c r="F180" s="2"/>
      <c r="G180" s="2"/>
    </row>
    <row r="181" spans="1:7" x14ac:dyDescent="0.25">
      <c r="A181" s="2"/>
      <c r="B181" s="2"/>
      <c r="C181" s="2"/>
      <c r="D181" s="2"/>
      <c r="E181" s="2"/>
      <c r="F181" s="2"/>
      <c r="G181" s="2"/>
    </row>
    <row r="182" spans="1:7" x14ac:dyDescent="0.25">
      <c r="A182" s="2"/>
      <c r="B182" s="2"/>
      <c r="C182" s="2"/>
      <c r="D182" s="2"/>
      <c r="E182" s="2"/>
      <c r="F182" s="2"/>
      <c r="G182" s="2"/>
    </row>
    <row r="183" spans="1:7" x14ac:dyDescent="0.25">
      <c r="A183" s="2"/>
      <c r="B183" s="2"/>
      <c r="C183" s="2"/>
      <c r="D183" s="2"/>
      <c r="E183" s="2"/>
      <c r="F183" s="2"/>
      <c r="G183" s="2"/>
    </row>
    <row r="184" spans="1:7" x14ac:dyDescent="0.25">
      <c r="A184" s="2"/>
      <c r="B184" s="2"/>
      <c r="C184" s="2"/>
      <c r="D184" s="2"/>
      <c r="E184" s="2"/>
      <c r="F184" s="2"/>
      <c r="G184" s="2"/>
    </row>
    <row r="185" spans="1:7" x14ac:dyDescent="0.25">
      <c r="A185" s="2"/>
      <c r="B185" s="2"/>
      <c r="C185" s="2"/>
      <c r="D185" s="2"/>
      <c r="E185" s="2"/>
      <c r="F185" s="2"/>
      <c r="G185" s="2"/>
    </row>
    <row r="186" spans="1:7" x14ac:dyDescent="0.25">
      <c r="A186" s="2"/>
      <c r="B186" s="2"/>
      <c r="C186" s="2"/>
      <c r="D186" s="2"/>
      <c r="E186" s="2"/>
      <c r="F186" s="2"/>
      <c r="G186" s="2"/>
    </row>
    <row r="187" spans="1:7" x14ac:dyDescent="0.25">
      <c r="A187" s="2"/>
      <c r="B187" s="2"/>
      <c r="C187" s="2"/>
      <c r="D187" s="2"/>
      <c r="E187" s="2"/>
      <c r="F187" s="2"/>
      <c r="G187" s="2"/>
    </row>
    <row r="188" spans="1:7" x14ac:dyDescent="0.25">
      <c r="A188" s="2"/>
      <c r="B188" s="2"/>
      <c r="C188" s="2"/>
      <c r="D188" s="2"/>
      <c r="E188" s="2"/>
      <c r="F188" s="2"/>
      <c r="G188" s="2"/>
    </row>
    <row r="189" spans="1:7" x14ac:dyDescent="0.25">
      <c r="A189" s="2"/>
      <c r="B189" s="2"/>
      <c r="C189" s="2"/>
      <c r="D189" s="2"/>
      <c r="E189" s="2"/>
      <c r="F189" s="2"/>
      <c r="G189" s="2"/>
    </row>
    <row r="190" spans="1:7" x14ac:dyDescent="0.25">
      <c r="A190" s="2"/>
      <c r="B190" s="2"/>
      <c r="C190" s="2"/>
      <c r="D190" s="2"/>
      <c r="E190" s="2"/>
      <c r="F190" s="2"/>
      <c r="G190" s="2"/>
    </row>
    <row r="191" spans="1:7" x14ac:dyDescent="0.25">
      <c r="A191" s="2"/>
      <c r="B191" s="2"/>
      <c r="C191" s="2"/>
      <c r="D191" s="2"/>
      <c r="E191" s="2"/>
      <c r="F191" s="2"/>
      <c r="G191" s="2"/>
    </row>
    <row r="192" spans="1:7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  <row r="261" spans="1:7" x14ac:dyDescent="0.25">
      <c r="A261" s="2"/>
      <c r="B261" s="2"/>
      <c r="C261" s="2"/>
      <c r="D261" s="2"/>
      <c r="E261" s="2"/>
      <c r="F261" s="2"/>
      <c r="G261" s="2"/>
    </row>
    <row r="262" spans="1:7" x14ac:dyDescent="0.25">
      <c r="A262" s="2"/>
      <c r="B262" s="2"/>
      <c r="C262" s="2"/>
      <c r="D262" s="2"/>
      <c r="E262" s="2"/>
      <c r="F262" s="2"/>
      <c r="G262" s="2"/>
    </row>
    <row r="263" spans="1:7" x14ac:dyDescent="0.25">
      <c r="A263" s="2"/>
      <c r="B263" s="2"/>
      <c r="C263" s="2"/>
      <c r="D263" s="2"/>
      <c r="E263" s="2"/>
      <c r="F263" s="2"/>
      <c r="G263" s="2"/>
    </row>
    <row r="264" spans="1:7" x14ac:dyDescent="0.25">
      <c r="A264" s="2"/>
      <c r="B264" s="2"/>
      <c r="C264" s="2"/>
      <c r="D264" s="2"/>
      <c r="E264" s="2"/>
      <c r="F264" s="2"/>
      <c r="G264" s="2"/>
    </row>
    <row r="265" spans="1:7" x14ac:dyDescent="0.25">
      <c r="A265" s="2"/>
      <c r="B265" s="2"/>
      <c r="C265" s="2"/>
      <c r="D265" s="2"/>
      <c r="E265" s="2"/>
      <c r="F265" s="2"/>
      <c r="G265" s="2"/>
    </row>
    <row r="266" spans="1:7" x14ac:dyDescent="0.25">
      <c r="A266" s="2"/>
      <c r="B266" s="2"/>
      <c r="C266" s="2"/>
      <c r="D266" s="2"/>
      <c r="E266" s="2"/>
      <c r="F266" s="2"/>
      <c r="G266" s="2"/>
    </row>
    <row r="267" spans="1:7" x14ac:dyDescent="0.25">
      <c r="A267" s="2"/>
      <c r="B267" s="2"/>
      <c r="C267" s="2"/>
      <c r="D267" s="2"/>
      <c r="E267" s="2"/>
      <c r="F267" s="2"/>
      <c r="G267" s="2"/>
    </row>
    <row r="268" spans="1:7" x14ac:dyDescent="0.25">
      <c r="A268" s="2"/>
      <c r="B268" s="2"/>
      <c r="C268" s="2"/>
      <c r="D268" s="2"/>
      <c r="E268" s="2"/>
      <c r="F268" s="2"/>
      <c r="G268" s="2"/>
    </row>
    <row r="269" spans="1:7" x14ac:dyDescent="0.25">
      <c r="A269" s="2"/>
      <c r="B269" s="2"/>
      <c r="C269" s="2"/>
      <c r="D269" s="2"/>
      <c r="E269" s="2"/>
      <c r="F269" s="2"/>
      <c r="G269" s="2"/>
    </row>
    <row r="270" spans="1:7" x14ac:dyDescent="0.25">
      <c r="A270" s="2"/>
      <c r="B270" s="2"/>
      <c r="C270" s="2"/>
      <c r="D270" s="2"/>
      <c r="E270" s="2"/>
      <c r="F270" s="2"/>
      <c r="G270" s="2"/>
    </row>
    <row r="271" spans="1:7" x14ac:dyDescent="0.25">
      <c r="A271" s="2"/>
      <c r="B271" s="2"/>
      <c r="C271" s="2"/>
      <c r="D271" s="2"/>
      <c r="E271" s="2"/>
      <c r="F271" s="2"/>
      <c r="G271" s="2"/>
    </row>
    <row r="272" spans="1:7" x14ac:dyDescent="0.25">
      <c r="A272" s="2"/>
      <c r="B272" s="2"/>
      <c r="C272" s="2"/>
      <c r="D272" s="2"/>
      <c r="E272" s="2"/>
      <c r="F272" s="2"/>
      <c r="G272" s="2"/>
    </row>
    <row r="273" spans="1:7" x14ac:dyDescent="0.25">
      <c r="A273" s="2"/>
      <c r="B273" s="2"/>
      <c r="C273" s="2"/>
      <c r="D273" s="2"/>
      <c r="E273" s="2"/>
      <c r="F273" s="2"/>
      <c r="G273" s="2"/>
    </row>
    <row r="274" spans="1:7" x14ac:dyDescent="0.25">
      <c r="A274" s="2"/>
      <c r="B274" s="2"/>
      <c r="C274" s="2"/>
      <c r="D274" s="2"/>
      <c r="E274" s="2"/>
      <c r="F274" s="2"/>
      <c r="G274" s="2"/>
    </row>
    <row r="275" spans="1:7" x14ac:dyDescent="0.25">
      <c r="A275" s="2"/>
      <c r="B275" s="2"/>
      <c r="C275" s="2"/>
      <c r="D275" s="2"/>
      <c r="E275" s="2"/>
      <c r="F275" s="2"/>
      <c r="G275" s="2"/>
    </row>
    <row r="276" spans="1:7" x14ac:dyDescent="0.25">
      <c r="A276" s="2"/>
      <c r="B276" s="2"/>
      <c r="C276" s="2"/>
      <c r="D276" s="2"/>
      <c r="E276" s="2"/>
      <c r="F276" s="2"/>
      <c r="G276" s="2"/>
    </row>
    <row r="277" spans="1:7" x14ac:dyDescent="0.25">
      <c r="A277" s="2"/>
      <c r="B277" s="2"/>
      <c r="C277" s="2"/>
      <c r="D277" s="2"/>
      <c r="E277" s="2"/>
      <c r="F277" s="2"/>
      <c r="G277" s="2"/>
    </row>
    <row r="278" spans="1:7" x14ac:dyDescent="0.25">
      <c r="A278" s="2"/>
      <c r="B278" s="2"/>
      <c r="C278" s="2"/>
      <c r="D278" s="2"/>
      <c r="E278" s="2"/>
      <c r="F278" s="2"/>
      <c r="G278" s="2"/>
    </row>
    <row r="279" spans="1:7" x14ac:dyDescent="0.25">
      <c r="A279" s="2"/>
      <c r="B279" s="2"/>
      <c r="C279" s="2"/>
      <c r="D279" s="2"/>
      <c r="E279" s="2"/>
      <c r="F279" s="2"/>
      <c r="G279" s="2"/>
    </row>
    <row r="280" spans="1:7" x14ac:dyDescent="0.25">
      <c r="A280" s="2"/>
      <c r="B280" s="2"/>
      <c r="C280" s="2"/>
      <c r="D280" s="2"/>
      <c r="E280" s="2"/>
      <c r="F280" s="2"/>
      <c r="G280" s="2"/>
    </row>
    <row r="281" spans="1:7" x14ac:dyDescent="0.25">
      <c r="A281" s="2"/>
      <c r="B281" s="2"/>
      <c r="C281" s="2"/>
      <c r="D281" s="2"/>
      <c r="E281" s="2"/>
      <c r="F281" s="2"/>
      <c r="G281" s="2"/>
    </row>
    <row r="282" spans="1:7" x14ac:dyDescent="0.25">
      <c r="A282" s="2"/>
      <c r="B282" s="2"/>
      <c r="C282" s="2"/>
      <c r="D282" s="2"/>
      <c r="E282" s="2"/>
      <c r="F282" s="2"/>
      <c r="G282" s="2"/>
    </row>
    <row r="283" spans="1:7" x14ac:dyDescent="0.25">
      <c r="A283" s="2"/>
      <c r="B283" s="2"/>
      <c r="C283" s="2"/>
      <c r="D283" s="2"/>
      <c r="E283" s="2"/>
      <c r="F283" s="2"/>
      <c r="G283" s="2"/>
    </row>
    <row r="284" spans="1:7" x14ac:dyDescent="0.25">
      <c r="A284" s="2"/>
      <c r="B284" s="2"/>
      <c r="C284" s="2"/>
      <c r="D284" s="2"/>
      <c r="E284" s="2"/>
      <c r="F284" s="2"/>
      <c r="G284" s="2"/>
    </row>
    <row r="285" spans="1:7" x14ac:dyDescent="0.25">
      <c r="A285" s="2"/>
      <c r="B285" s="2"/>
      <c r="C285" s="2"/>
      <c r="D285" s="2"/>
      <c r="E285" s="2"/>
      <c r="F285" s="2"/>
      <c r="G285" s="2"/>
    </row>
    <row r="286" spans="1:7" x14ac:dyDescent="0.25">
      <c r="A286" s="2"/>
      <c r="B286" s="2"/>
      <c r="C286" s="2"/>
      <c r="D286" s="2"/>
      <c r="E286" s="2"/>
      <c r="F286" s="2"/>
      <c r="G286" s="2"/>
    </row>
    <row r="287" spans="1:7" x14ac:dyDescent="0.25">
      <c r="A287" s="2"/>
      <c r="B287" s="2"/>
      <c r="C287" s="2"/>
      <c r="D287" s="2"/>
      <c r="E287" s="2"/>
      <c r="F287" s="2"/>
      <c r="G287" s="2"/>
    </row>
    <row r="288" spans="1:7" x14ac:dyDescent="0.25">
      <c r="A288" s="2"/>
      <c r="B288" s="2"/>
      <c r="C288" s="2"/>
      <c r="D288" s="2"/>
      <c r="E288" s="2"/>
      <c r="F288" s="2"/>
      <c r="G288" s="2"/>
    </row>
    <row r="289" spans="1:7" x14ac:dyDescent="0.25">
      <c r="A289" s="2"/>
      <c r="B289" s="2"/>
      <c r="C289" s="2"/>
      <c r="D289" s="2"/>
      <c r="E289" s="2"/>
      <c r="F289" s="2"/>
      <c r="G289" s="2"/>
    </row>
    <row r="290" spans="1:7" x14ac:dyDescent="0.25">
      <c r="A290" s="2"/>
      <c r="B290" s="2"/>
      <c r="C290" s="2"/>
      <c r="D290" s="2"/>
      <c r="E290" s="2"/>
      <c r="F290" s="2"/>
      <c r="G290" s="2"/>
    </row>
    <row r="291" spans="1:7" x14ac:dyDescent="0.25">
      <c r="A291" s="2"/>
      <c r="B291" s="2"/>
      <c r="C291" s="2"/>
      <c r="D291" s="2"/>
      <c r="E291" s="2"/>
      <c r="F291" s="2"/>
      <c r="G291" s="2"/>
    </row>
    <row r="292" spans="1:7" x14ac:dyDescent="0.25">
      <c r="A292" s="2"/>
      <c r="B292" s="2"/>
      <c r="C292" s="2"/>
      <c r="D292" s="2"/>
      <c r="E292" s="2"/>
      <c r="F292" s="2"/>
      <c r="G292" s="2"/>
    </row>
    <row r="293" spans="1:7" x14ac:dyDescent="0.25">
      <c r="A293" s="2"/>
      <c r="B293" s="2"/>
      <c r="C293" s="2"/>
      <c r="D293" s="2"/>
      <c r="E293" s="2"/>
      <c r="F293" s="2"/>
      <c r="G293" s="2"/>
    </row>
    <row r="294" spans="1:7" x14ac:dyDescent="0.25">
      <c r="A294" s="2"/>
      <c r="B294" s="2"/>
      <c r="C294" s="2"/>
      <c r="D294" s="2"/>
      <c r="E294" s="2"/>
      <c r="F294" s="2"/>
      <c r="G294" s="2"/>
    </row>
    <row r="295" spans="1:7" x14ac:dyDescent="0.25">
      <c r="A295" s="2"/>
      <c r="B295" s="2"/>
      <c r="C295" s="2"/>
      <c r="D295" s="2"/>
      <c r="E295" s="2"/>
      <c r="F295" s="2"/>
      <c r="G295" s="2"/>
    </row>
    <row r="296" spans="1:7" x14ac:dyDescent="0.25">
      <c r="A296" s="2"/>
      <c r="B296" s="2"/>
      <c r="C296" s="2"/>
      <c r="D296" s="2"/>
      <c r="E296" s="2"/>
      <c r="F296" s="2"/>
      <c r="G296" s="2"/>
    </row>
    <row r="297" spans="1:7" x14ac:dyDescent="0.25">
      <c r="A297" s="2"/>
      <c r="B297" s="2"/>
      <c r="C297" s="2"/>
      <c r="D297" s="2"/>
      <c r="E297" s="2"/>
      <c r="F297" s="2"/>
      <c r="G297" s="2"/>
    </row>
    <row r="298" spans="1:7" x14ac:dyDescent="0.25">
      <c r="A298" s="2"/>
      <c r="B298" s="2"/>
      <c r="C298" s="2"/>
      <c r="D298" s="2"/>
      <c r="E298" s="2"/>
      <c r="F298" s="2"/>
      <c r="G298" s="2"/>
    </row>
    <row r="299" spans="1:7" x14ac:dyDescent="0.25">
      <c r="A299" s="2"/>
      <c r="B299" s="2"/>
      <c r="C299" s="2"/>
      <c r="D299" s="2"/>
      <c r="E299" s="2"/>
      <c r="F299" s="2"/>
      <c r="G299" s="2"/>
    </row>
    <row r="300" spans="1:7" x14ac:dyDescent="0.25">
      <c r="A300" s="2"/>
      <c r="B300" s="2"/>
      <c r="C300" s="2"/>
      <c r="D300" s="2"/>
      <c r="E300" s="2"/>
      <c r="F300" s="2"/>
      <c r="G300" s="2"/>
    </row>
    <row r="301" spans="1:7" x14ac:dyDescent="0.25">
      <c r="A301" s="2"/>
      <c r="B301" s="2"/>
      <c r="C301" s="2"/>
      <c r="D301" s="2"/>
      <c r="E301" s="2"/>
      <c r="F301" s="2"/>
      <c r="G301" s="2"/>
    </row>
    <row r="302" spans="1:7" x14ac:dyDescent="0.25">
      <c r="A302" s="2"/>
      <c r="B302" s="2"/>
      <c r="C302" s="2"/>
      <c r="D302" s="2"/>
      <c r="E302" s="2"/>
      <c r="F302" s="2"/>
      <c r="G302" s="2"/>
    </row>
    <row r="303" spans="1:7" x14ac:dyDescent="0.25">
      <c r="A303" s="2"/>
      <c r="B303" s="2"/>
      <c r="C303" s="2"/>
      <c r="D303" s="2"/>
      <c r="E303" s="2"/>
      <c r="F303" s="2"/>
      <c r="G303" s="2"/>
    </row>
    <row r="304" spans="1:7" x14ac:dyDescent="0.25">
      <c r="A304" s="2"/>
      <c r="B304" s="2"/>
      <c r="C304" s="2"/>
      <c r="D304" s="2"/>
      <c r="E304" s="2"/>
      <c r="F304" s="2"/>
      <c r="G304" s="2"/>
    </row>
    <row r="305" spans="1:7" x14ac:dyDescent="0.25">
      <c r="A305" s="2"/>
      <c r="B305" s="2"/>
      <c r="C305" s="2"/>
      <c r="D305" s="2"/>
      <c r="E305" s="2"/>
      <c r="F305" s="2"/>
      <c r="G305" s="2"/>
    </row>
    <row r="306" spans="1:7" x14ac:dyDescent="0.25">
      <c r="A306" s="2"/>
      <c r="B306" s="2"/>
      <c r="C306" s="2"/>
      <c r="D306" s="2"/>
      <c r="E306" s="2"/>
      <c r="F306" s="2"/>
      <c r="G306" s="2"/>
    </row>
    <row r="307" spans="1:7" x14ac:dyDescent="0.25">
      <c r="A307" s="2"/>
      <c r="B307" s="2"/>
      <c r="C307" s="2"/>
      <c r="D307" s="2"/>
      <c r="E307" s="2"/>
      <c r="F307" s="2"/>
      <c r="G307" s="2"/>
    </row>
    <row r="308" spans="1:7" x14ac:dyDescent="0.25">
      <c r="A308" s="2"/>
      <c r="B308" s="2"/>
      <c r="C308" s="2"/>
      <c r="D308" s="2"/>
      <c r="E308" s="2"/>
      <c r="F308" s="2"/>
      <c r="G308" s="2"/>
    </row>
    <row r="309" spans="1:7" x14ac:dyDescent="0.25">
      <c r="A309" s="2"/>
      <c r="B309" s="2"/>
      <c r="C309" s="2"/>
      <c r="D309" s="2"/>
      <c r="E309" s="2"/>
      <c r="F309" s="2"/>
      <c r="G309" s="2"/>
    </row>
    <row r="310" spans="1:7" x14ac:dyDescent="0.25">
      <c r="A310" s="2"/>
      <c r="B310" s="2"/>
      <c r="C310" s="2"/>
      <c r="D310" s="2"/>
      <c r="E310" s="2"/>
      <c r="F310" s="2"/>
      <c r="G310" s="2"/>
    </row>
    <row r="311" spans="1:7" x14ac:dyDescent="0.25">
      <c r="A311" s="2"/>
      <c r="B311" s="2"/>
      <c r="C311" s="2"/>
      <c r="D311" s="2"/>
      <c r="E311" s="2"/>
      <c r="F311" s="2"/>
      <c r="G311" s="2"/>
    </row>
    <row r="312" spans="1:7" x14ac:dyDescent="0.25">
      <c r="A312" s="2"/>
      <c r="B312" s="2"/>
      <c r="C312" s="2"/>
      <c r="D312" s="2"/>
      <c r="E312" s="2"/>
      <c r="F312" s="2"/>
      <c r="G312" s="2"/>
    </row>
    <row r="313" spans="1:7" x14ac:dyDescent="0.25">
      <c r="A313" s="2"/>
      <c r="B313" s="2"/>
      <c r="C313" s="2"/>
      <c r="D313" s="2"/>
      <c r="E313" s="2"/>
      <c r="F313" s="2"/>
      <c r="G313" s="2"/>
    </row>
    <row r="314" spans="1:7" x14ac:dyDescent="0.25">
      <c r="A314" s="2"/>
      <c r="B314" s="2"/>
      <c r="C314" s="2"/>
      <c r="D314" s="2"/>
      <c r="E314" s="2"/>
      <c r="F314" s="2"/>
      <c r="G314" s="2"/>
    </row>
    <row r="315" spans="1:7" x14ac:dyDescent="0.25">
      <c r="A315" s="2"/>
      <c r="B315" s="2"/>
      <c r="C315" s="2"/>
      <c r="D315" s="2"/>
      <c r="E315" s="2"/>
      <c r="F315" s="2"/>
      <c r="G315" s="2"/>
    </row>
    <row r="316" spans="1:7" x14ac:dyDescent="0.25">
      <c r="A316" s="2"/>
      <c r="B316" s="2"/>
      <c r="C316" s="2"/>
      <c r="D316" s="2"/>
      <c r="E316" s="2"/>
      <c r="F316" s="2"/>
      <c r="G316" s="2"/>
    </row>
    <row r="317" spans="1:7" x14ac:dyDescent="0.25">
      <c r="A317" s="2"/>
      <c r="B317" s="2"/>
      <c r="C317" s="2"/>
      <c r="D317" s="2"/>
      <c r="E317" s="2"/>
      <c r="F317" s="2"/>
      <c r="G317" s="2"/>
    </row>
    <row r="318" spans="1:7" x14ac:dyDescent="0.25">
      <c r="A318" s="2"/>
      <c r="B318" s="2"/>
      <c r="C318" s="2"/>
      <c r="D318" s="2"/>
      <c r="E318" s="2"/>
      <c r="F318" s="2"/>
      <c r="G318" s="2"/>
    </row>
    <row r="319" spans="1:7" x14ac:dyDescent="0.25">
      <c r="A319" s="2"/>
      <c r="B319" s="2"/>
      <c r="C319" s="2"/>
      <c r="D319" s="2"/>
      <c r="E319" s="2"/>
      <c r="F319" s="2"/>
      <c r="G319" s="2"/>
    </row>
    <row r="320" spans="1:7" x14ac:dyDescent="0.25">
      <c r="A320" s="2"/>
      <c r="B320" s="2"/>
      <c r="C320" s="2"/>
      <c r="D320" s="2"/>
      <c r="E320" s="2"/>
      <c r="F320" s="2"/>
      <c r="G320" s="2"/>
    </row>
    <row r="321" spans="1:7" x14ac:dyDescent="0.25">
      <c r="A321" s="2"/>
      <c r="B321" s="2"/>
      <c r="C321" s="2"/>
      <c r="D321" s="2"/>
      <c r="E321" s="2"/>
      <c r="F321" s="2"/>
      <c r="G321" s="2"/>
    </row>
    <row r="322" spans="1:7" x14ac:dyDescent="0.25">
      <c r="A322" s="2"/>
      <c r="B322" s="2"/>
      <c r="C322" s="2"/>
      <c r="D322" s="2"/>
      <c r="E322" s="2"/>
      <c r="F322" s="2"/>
      <c r="G322" s="2"/>
    </row>
    <row r="323" spans="1:7" x14ac:dyDescent="0.25">
      <c r="A323" s="2"/>
      <c r="B323" s="2"/>
      <c r="C323" s="2"/>
      <c r="D323" s="2"/>
      <c r="E323" s="2"/>
      <c r="F323" s="2"/>
      <c r="G323" s="2"/>
    </row>
    <row r="324" spans="1:7" x14ac:dyDescent="0.25">
      <c r="A324" s="2"/>
      <c r="B324" s="2"/>
      <c r="C324" s="2"/>
      <c r="D324" s="2"/>
      <c r="E324" s="2"/>
      <c r="F324" s="2"/>
      <c r="G324" s="2"/>
    </row>
    <row r="325" spans="1:7" x14ac:dyDescent="0.25">
      <c r="A325" s="2"/>
      <c r="B325" s="2"/>
      <c r="C325" s="2"/>
      <c r="D325" s="2"/>
      <c r="E325" s="2"/>
      <c r="F325" s="2"/>
      <c r="G325" s="2"/>
    </row>
    <row r="326" spans="1:7" x14ac:dyDescent="0.25">
      <c r="A326" s="2"/>
      <c r="B326" s="2"/>
      <c r="C326" s="2"/>
      <c r="D326" s="2"/>
      <c r="E326" s="2"/>
      <c r="F326" s="2"/>
      <c r="G326" s="2"/>
    </row>
    <row r="327" spans="1:7" x14ac:dyDescent="0.25">
      <c r="A327" s="2"/>
      <c r="B327" s="2"/>
      <c r="C327" s="2"/>
      <c r="D327" s="2"/>
      <c r="E327" s="2"/>
      <c r="F327" s="2"/>
      <c r="G327" s="2"/>
    </row>
    <row r="328" spans="1:7" x14ac:dyDescent="0.25">
      <c r="A328" s="2"/>
      <c r="B328" s="2"/>
      <c r="C328" s="2"/>
      <c r="D328" s="2"/>
      <c r="E328" s="2"/>
      <c r="F328" s="2"/>
      <c r="G328" s="2"/>
    </row>
    <row r="329" spans="1:7" x14ac:dyDescent="0.25">
      <c r="A329" s="2"/>
      <c r="B329" s="2"/>
      <c r="C329" s="2"/>
      <c r="D329" s="2"/>
      <c r="E329" s="2"/>
      <c r="F329" s="2"/>
      <c r="G329" s="2"/>
    </row>
    <row r="330" spans="1:7" x14ac:dyDescent="0.25">
      <c r="A330" s="2"/>
      <c r="B330" s="2"/>
      <c r="C330" s="2"/>
      <c r="D330" s="2"/>
      <c r="E330" s="2"/>
      <c r="F330" s="2"/>
      <c r="G330" s="2"/>
    </row>
    <row r="331" spans="1:7" x14ac:dyDescent="0.25">
      <c r="A331" s="2"/>
      <c r="B331" s="2"/>
      <c r="C331" s="2"/>
      <c r="D331" s="2"/>
      <c r="E331" s="2"/>
      <c r="F331" s="2"/>
      <c r="G331" s="2"/>
    </row>
    <row r="332" spans="1:7" x14ac:dyDescent="0.25">
      <c r="A332" s="2"/>
      <c r="B332" s="2"/>
      <c r="C332" s="2"/>
      <c r="D332" s="2"/>
      <c r="E332" s="2"/>
      <c r="F332" s="2"/>
      <c r="G332" s="2"/>
    </row>
    <row r="333" spans="1:7" x14ac:dyDescent="0.25">
      <c r="A333" s="2"/>
      <c r="B333" s="2"/>
      <c r="C333" s="2"/>
      <c r="D333" s="2"/>
      <c r="E333" s="2"/>
      <c r="F333" s="2"/>
      <c r="G333" s="2"/>
    </row>
    <row r="334" spans="1:7" x14ac:dyDescent="0.25">
      <c r="A334" s="2"/>
      <c r="B334" s="2"/>
      <c r="C334" s="2"/>
      <c r="D334" s="2"/>
      <c r="E334" s="2"/>
      <c r="F334" s="2"/>
      <c r="G334" s="2"/>
    </row>
    <row r="335" spans="1:7" x14ac:dyDescent="0.25">
      <c r="A335" s="2"/>
      <c r="B335" s="2"/>
      <c r="C335" s="2"/>
      <c r="D335" s="2"/>
      <c r="E335" s="2"/>
      <c r="F335" s="2"/>
      <c r="G335" s="2"/>
    </row>
    <row r="336" spans="1:7" x14ac:dyDescent="0.25">
      <c r="A336" s="2"/>
      <c r="B336" s="2"/>
      <c r="C336" s="2"/>
      <c r="D336" s="2"/>
      <c r="E336" s="2"/>
      <c r="F336" s="2"/>
      <c r="G336" s="2"/>
    </row>
    <row r="337" spans="1:7" x14ac:dyDescent="0.25">
      <c r="A337" s="2"/>
      <c r="B337" s="2"/>
      <c r="C337" s="2"/>
      <c r="D337" s="2"/>
      <c r="E337" s="2"/>
      <c r="F337" s="2"/>
      <c r="G337" s="2"/>
    </row>
    <row r="338" spans="1:7" x14ac:dyDescent="0.25">
      <c r="A338" s="2"/>
      <c r="B338" s="2"/>
      <c r="C338" s="2"/>
      <c r="D338" s="2"/>
      <c r="E338" s="2"/>
      <c r="F338" s="2"/>
      <c r="G338" s="2"/>
    </row>
    <row r="339" spans="1:7" x14ac:dyDescent="0.25">
      <c r="A339" s="2"/>
      <c r="B339" s="2"/>
      <c r="C339" s="2"/>
      <c r="D339" s="2"/>
      <c r="E339" s="2"/>
      <c r="F339" s="2"/>
      <c r="G339" s="2"/>
    </row>
    <row r="340" spans="1:7" x14ac:dyDescent="0.25">
      <c r="A340" s="2"/>
      <c r="B340" s="2"/>
      <c r="C340" s="2"/>
      <c r="D340" s="2"/>
      <c r="E340" s="2"/>
      <c r="F340" s="2"/>
      <c r="G340" s="2"/>
    </row>
    <row r="341" spans="1:7" x14ac:dyDescent="0.25">
      <c r="A341" s="2"/>
      <c r="B341" s="2"/>
      <c r="C341" s="2"/>
      <c r="D341" s="2"/>
      <c r="E341" s="2"/>
      <c r="F341" s="2"/>
      <c r="G341" s="2"/>
    </row>
    <row r="342" spans="1:7" x14ac:dyDescent="0.25">
      <c r="A342" s="2"/>
      <c r="B342" s="2"/>
      <c r="C342" s="2"/>
      <c r="D342" s="2"/>
      <c r="E342" s="2"/>
      <c r="F342" s="2"/>
      <c r="G342" s="2"/>
    </row>
    <row r="343" spans="1:7" x14ac:dyDescent="0.25">
      <c r="A343" s="2"/>
      <c r="B343" s="2"/>
      <c r="C343" s="2"/>
      <c r="D343" s="2"/>
      <c r="E343" s="2"/>
      <c r="F343" s="2"/>
      <c r="G343" s="2"/>
    </row>
    <row r="344" spans="1:7" x14ac:dyDescent="0.25">
      <c r="A344" s="2"/>
      <c r="B344" s="2"/>
      <c r="C344" s="2"/>
      <c r="D344" s="2"/>
      <c r="E344" s="2"/>
      <c r="F344" s="2"/>
      <c r="G344" s="2"/>
    </row>
    <row r="345" spans="1:7" x14ac:dyDescent="0.25">
      <c r="A345" s="2"/>
      <c r="B345" s="2"/>
      <c r="C345" s="2"/>
      <c r="D345" s="2"/>
      <c r="E345" s="2"/>
      <c r="F345" s="2"/>
      <c r="G345" s="2"/>
    </row>
    <row r="346" spans="1:7" x14ac:dyDescent="0.25">
      <c r="A346" s="2"/>
      <c r="B346" s="2"/>
      <c r="C346" s="2"/>
      <c r="D346" s="2"/>
      <c r="E346" s="2"/>
      <c r="F346" s="2"/>
      <c r="G346" s="2"/>
    </row>
    <row r="347" spans="1:7" x14ac:dyDescent="0.25">
      <c r="A347" s="2"/>
      <c r="B347" s="2"/>
      <c r="C347" s="2"/>
      <c r="D347" s="2"/>
      <c r="E347" s="2"/>
      <c r="F347" s="2"/>
      <c r="G347" s="2"/>
    </row>
    <row r="348" spans="1:7" x14ac:dyDescent="0.25">
      <c r="A348" s="2"/>
      <c r="B348" s="2"/>
      <c r="C348" s="2"/>
      <c r="D348" s="2"/>
      <c r="E348" s="2"/>
      <c r="F348" s="2"/>
      <c r="G348" s="2"/>
    </row>
    <row r="349" spans="1:7" x14ac:dyDescent="0.25">
      <c r="A349" s="2"/>
      <c r="B349" s="2"/>
      <c r="C349" s="2"/>
      <c r="D349" s="2"/>
      <c r="E349" s="2"/>
      <c r="F349" s="2"/>
      <c r="G349" s="2"/>
    </row>
    <row r="350" spans="1:7" x14ac:dyDescent="0.25">
      <c r="A350" s="2"/>
      <c r="B350" s="2"/>
      <c r="C350" s="2"/>
      <c r="D350" s="2"/>
      <c r="E350" s="2"/>
      <c r="F350" s="2"/>
      <c r="G350" s="2"/>
    </row>
    <row r="351" spans="1:7" x14ac:dyDescent="0.25">
      <c r="A351" s="2"/>
      <c r="B351" s="2"/>
      <c r="C351" s="2"/>
      <c r="D351" s="2"/>
      <c r="E351" s="2"/>
      <c r="F351" s="2"/>
      <c r="G351" s="2"/>
    </row>
    <row r="352" spans="1:7" x14ac:dyDescent="0.25">
      <c r="A352" s="2"/>
      <c r="B352" s="2"/>
      <c r="C352" s="2"/>
      <c r="D352" s="2"/>
      <c r="E352" s="2"/>
      <c r="F352" s="2"/>
      <c r="G352" s="2"/>
    </row>
    <row r="353" spans="1:7" x14ac:dyDescent="0.25">
      <c r="A353" s="2"/>
      <c r="B353" s="2"/>
      <c r="C353" s="2"/>
      <c r="D353" s="2"/>
      <c r="E353" s="2"/>
      <c r="F353" s="2"/>
      <c r="G353" s="2"/>
    </row>
    <row r="354" spans="1:7" x14ac:dyDescent="0.25">
      <c r="A354" s="2"/>
      <c r="B354" s="2"/>
      <c r="C354" s="2"/>
      <c r="D354" s="2"/>
      <c r="E354" s="2"/>
      <c r="F354" s="2"/>
      <c r="G354" s="2"/>
    </row>
    <row r="355" spans="1:7" x14ac:dyDescent="0.25">
      <c r="A355" s="2"/>
      <c r="B355" s="2"/>
      <c r="C355" s="2"/>
      <c r="D355" s="2"/>
      <c r="E355" s="2"/>
      <c r="F355" s="2"/>
      <c r="G355" s="2"/>
    </row>
    <row r="356" spans="1:7" x14ac:dyDescent="0.25">
      <c r="A356" s="2"/>
      <c r="B356" s="2"/>
      <c r="C356" s="2"/>
      <c r="D356" s="2"/>
      <c r="E356" s="2"/>
      <c r="F356" s="2"/>
      <c r="G356" s="2"/>
    </row>
    <row r="357" spans="1:7" x14ac:dyDescent="0.25">
      <c r="A357" s="2"/>
      <c r="B357" s="2"/>
      <c r="C357" s="2"/>
      <c r="D357" s="2"/>
      <c r="E357" s="2"/>
      <c r="F357" s="2"/>
      <c r="G357" s="2"/>
    </row>
    <row r="358" spans="1:7" x14ac:dyDescent="0.25">
      <c r="A358" s="2"/>
      <c r="B358" s="2"/>
      <c r="C358" s="2"/>
      <c r="D358" s="2"/>
      <c r="E358" s="2"/>
      <c r="F358" s="2"/>
      <c r="G358" s="2"/>
    </row>
    <row r="359" spans="1:7" x14ac:dyDescent="0.25">
      <c r="A359" s="2"/>
      <c r="B359" s="2"/>
      <c r="C359" s="2"/>
      <c r="D359" s="2"/>
      <c r="E359" s="2"/>
      <c r="F359" s="2"/>
      <c r="G359" s="2"/>
    </row>
    <row r="360" spans="1:7" x14ac:dyDescent="0.25">
      <c r="A360" s="2"/>
      <c r="B360" s="2"/>
      <c r="C360" s="2"/>
      <c r="D360" s="2"/>
      <c r="E360" s="2"/>
      <c r="F360" s="2"/>
      <c r="G360" s="2"/>
    </row>
    <row r="361" spans="1:7" x14ac:dyDescent="0.25">
      <c r="A361" s="2"/>
      <c r="B361" s="2"/>
      <c r="C361" s="2"/>
      <c r="D361" s="2"/>
      <c r="E361" s="2"/>
      <c r="F361" s="2"/>
      <c r="G361" s="2"/>
    </row>
    <row r="362" spans="1:7" x14ac:dyDescent="0.25">
      <c r="A362" s="2"/>
      <c r="B362" s="2"/>
      <c r="C362" s="2"/>
      <c r="D362" s="2"/>
      <c r="E362" s="2"/>
      <c r="F362" s="2"/>
      <c r="G362" s="2"/>
    </row>
  </sheetData>
  <sortState xmlns:xlrd2="http://schemas.microsoft.com/office/spreadsheetml/2017/richdata2" ref="A2:G364">
    <sortCondition ref="A2:A364"/>
    <sortCondition ref="B2:B364" customList="Jan,Feb,Mar,Apr,May,Jun,Jul,Aug,Sep,Oct,Nov,Dec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EB6A-EA43-4E32-91B4-7DAA9C710A7F}">
  <sheetPr codeName="Sheet9"/>
  <dimension ref="A1:I50"/>
  <sheetViews>
    <sheetView tabSelected="1" zoomScaleNormal="100" workbookViewId="0">
      <selection activeCell="M6" sqref="M6"/>
    </sheetView>
  </sheetViews>
  <sheetFormatPr defaultRowHeight="15" x14ac:dyDescent="0.25"/>
  <sheetData>
    <row r="1" spans="1:9" x14ac:dyDescent="0.25">
      <c r="A1" s="224" t="s">
        <v>415</v>
      </c>
      <c r="B1" s="224"/>
      <c r="C1" s="224"/>
      <c r="D1" s="224"/>
      <c r="E1" s="224"/>
      <c r="F1" s="224"/>
      <c r="G1" s="224"/>
      <c r="H1" s="224"/>
      <c r="I1" s="224"/>
    </row>
    <row r="2" spans="1:9" ht="15" customHeight="1" x14ac:dyDescent="0.25">
      <c r="A2" s="224"/>
      <c r="B2" s="224"/>
      <c r="C2" s="224"/>
      <c r="D2" s="224"/>
      <c r="E2" s="224"/>
      <c r="F2" s="224"/>
      <c r="G2" s="224"/>
      <c r="H2" s="224"/>
      <c r="I2" s="224"/>
    </row>
    <row r="3" spans="1:9" ht="15" customHeight="1" x14ac:dyDescent="0.25">
      <c r="A3" s="224"/>
      <c r="B3" s="224"/>
      <c r="C3" s="224"/>
      <c r="D3" s="224"/>
      <c r="E3" s="224"/>
      <c r="F3" s="224"/>
      <c r="G3" s="224"/>
      <c r="H3" s="224"/>
      <c r="I3" s="224"/>
    </row>
    <row r="4" spans="1:9" ht="15" customHeight="1" x14ac:dyDescent="0.25">
      <c r="A4" s="224"/>
      <c r="B4" s="224"/>
      <c r="C4" s="224"/>
      <c r="D4" s="224"/>
      <c r="E4" s="224"/>
      <c r="F4" s="224"/>
      <c r="G4" s="224"/>
      <c r="H4" s="224"/>
      <c r="I4" s="224"/>
    </row>
    <row r="5" spans="1:9" ht="15" customHeight="1" x14ac:dyDescent="0.25">
      <c r="A5" s="224"/>
      <c r="B5" s="224"/>
      <c r="C5" s="224"/>
      <c r="D5" s="224"/>
      <c r="E5" s="224"/>
      <c r="F5" s="224"/>
      <c r="G5" s="224"/>
      <c r="H5" s="224"/>
      <c r="I5" s="224"/>
    </row>
    <row r="6" spans="1:9" ht="15" customHeight="1" x14ac:dyDescent="0.25">
      <c r="A6" s="224"/>
      <c r="B6" s="224"/>
      <c r="C6" s="224"/>
      <c r="D6" s="224"/>
      <c r="E6" s="224"/>
      <c r="F6" s="224"/>
      <c r="G6" s="224"/>
      <c r="H6" s="224"/>
      <c r="I6" s="224"/>
    </row>
    <row r="7" spans="1:9" ht="15" customHeight="1" x14ac:dyDescent="0.25">
      <c r="A7" s="224"/>
      <c r="B7" s="224"/>
      <c r="C7" s="224"/>
      <c r="D7" s="224"/>
      <c r="E7" s="224"/>
      <c r="F7" s="224"/>
      <c r="G7" s="224"/>
      <c r="H7" s="224"/>
      <c r="I7" s="224"/>
    </row>
    <row r="8" spans="1:9" ht="15" customHeight="1" x14ac:dyDescent="0.25">
      <c r="A8" s="224"/>
      <c r="B8" s="224"/>
      <c r="C8" s="224"/>
      <c r="D8" s="224"/>
      <c r="E8" s="224"/>
      <c r="F8" s="224"/>
      <c r="G8" s="224"/>
      <c r="H8" s="224"/>
      <c r="I8" s="224"/>
    </row>
    <row r="9" spans="1:9" ht="15" customHeight="1" x14ac:dyDescent="0.25">
      <c r="A9" s="224"/>
      <c r="B9" s="224"/>
      <c r="C9" s="224"/>
      <c r="D9" s="224"/>
      <c r="E9" s="224"/>
      <c r="F9" s="224"/>
      <c r="G9" s="224"/>
      <c r="H9" s="224"/>
      <c r="I9" s="224"/>
    </row>
    <row r="10" spans="1:9" x14ac:dyDescent="0.25">
      <c r="A10" s="224"/>
      <c r="B10" s="224"/>
      <c r="C10" s="224"/>
      <c r="D10" s="224"/>
      <c r="E10" s="224"/>
      <c r="F10" s="224"/>
      <c r="G10" s="224"/>
      <c r="H10" s="224"/>
      <c r="I10" s="224"/>
    </row>
    <row r="11" spans="1:9" x14ac:dyDescent="0.25">
      <c r="A11" s="224"/>
      <c r="B11" s="224"/>
      <c r="C11" s="224"/>
      <c r="D11" s="224"/>
      <c r="E11" s="224"/>
      <c r="F11" s="224"/>
      <c r="G11" s="224"/>
      <c r="H11" s="224"/>
      <c r="I11" s="224"/>
    </row>
    <row r="12" spans="1:9" x14ac:dyDescent="0.25">
      <c r="A12" s="224"/>
      <c r="B12" s="224"/>
      <c r="C12" s="224"/>
      <c r="D12" s="224"/>
      <c r="E12" s="224"/>
      <c r="F12" s="224"/>
      <c r="G12" s="224"/>
      <c r="H12" s="224"/>
      <c r="I12" s="224"/>
    </row>
    <row r="13" spans="1:9" x14ac:dyDescent="0.25">
      <c r="A13" s="224"/>
      <c r="B13" s="224"/>
      <c r="C13" s="224"/>
      <c r="D13" s="224"/>
      <c r="E13" s="224"/>
      <c r="F13" s="224"/>
      <c r="G13" s="224"/>
      <c r="H13" s="224"/>
      <c r="I13" s="224"/>
    </row>
    <row r="14" spans="1:9" x14ac:dyDescent="0.25">
      <c r="A14" s="224"/>
      <c r="B14" s="224"/>
      <c r="C14" s="224"/>
      <c r="D14" s="224"/>
      <c r="E14" s="224"/>
      <c r="F14" s="224"/>
      <c r="G14" s="224"/>
      <c r="H14" s="224"/>
      <c r="I14" s="224"/>
    </row>
    <row r="15" spans="1:9" x14ac:dyDescent="0.25">
      <c r="A15" s="224"/>
      <c r="B15" s="224"/>
      <c r="C15" s="224"/>
      <c r="D15" s="224"/>
      <c r="E15" s="224"/>
      <c r="F15" s="224"/>
      <c r="G15" s="224"/>
      <c r="H15" s="224"/>
      <c r="I15" s="224"/>
    </row>
    <row r="16" spans="1:9" x14ac:dyDescent="0.25">
      <c r="A16" s="224"/>
      <c r="B16" s="224"/>
      <c r="C16" s="224"/>
      <c r="D16" s="224"/>
      <c r="E16" s="224"/>
      <c r="F16" s="224"/>
      <c r="G16" s="224"/>
      <c r="H16" s="224"/>
      <c r="I16" s="224"/>
    </row>
    <row r="17" spans="1:9" x14ac:dyDescent="0.25">
      <c r="A17" s="224"/>
      <c r="B17" s="224"/>
      <c r="C17" s="224"/>
      <c r="D17" s="224"/>
      <c r="E17" s="224"/>
      <c r="F17" s="224"/>
      <c r="G17" s="224"/>
      <c r="H17" s="224"/>
      <c r="I17" s="224"/>
    </row>
    <row r="18" spans="1:9" x14ac:dyDescent="0.25">
      <c r="A18" s="224"/>
      <c r="B18" s="224"/>
      <c r="C18" s="224"/>
      <c r="D18" s="224"/>
      <c r="E18" s="224"/>
      <c r="F18" s="224"/>
      <c r="G18" s="224"/>
      <c r="H18" s="224"/>
      <c r="I18" s="224"/>
    </row>
    <row r="19" spans="1:9" x14ac:dyDescent="0.25">
      <c r="A19" s="224"/>
      <c r="B19" s="224"/>
      <c r="C19" s="224"/>
      <c r="D19" s="224"/>
      <c r="E19" s="224"/>
      <c r="F19" s="224"/>
      <c r="G19" s="224"/>
      <c r="H19" s="224"/>
      <c r="I19" s="224"/>
    </row>
    <row r="20" spans="1:9" x14ac:dyDescent="0.25">
      <c r="A20" s="224"/>
      <c r="B20" s="224"/>
      <c r="C20" s="224"/>
      <c r="D20" s="224"/>
      <c r="E20" s="224"/>
      <c r="F20" s="224"/>
      <c r="G20" s="224"/>
      <c r="H20" s="224"/>
      <c r="I20" s="224"/>
    </row>
    <row r="21" spans="1:9" x14ac:dyDescent="0.25">
      <c r="A21" s="224"/>
      <c r="B21" s="224"/>
      <c r="C21" s="224"/>
      <c r="D21" s="224"/>
      <c r="E21" s="224"/>
      <c r="F21" s="224"/>
      <c r="G21" s="224"/>
      <c r="H21" s="224"/>
      <c r="I21" s="224"/>
    </row>
    <row r="22" spans="1:9" x14ac:dyDescent="0.25">
      <c r="A22" s="224"/>
      <c r="B22" s="224"/>
      <c r="C22" s="224"/>
      <c r="D22" s="224"/>
      <c r="E22" s="224"/>
      <c r="F22" s="224"/>
      <c r="G22" s="224"/>
      <c r="H22" s="224"/>
      <c r="I22" s="224"/>
    </row>
    <row r="23" spans="1:9" x14ac:dyDescent="0.25">
      <c r="A23" s="224"/>
      <c r="B23" s="224"/>
      <c r="C23" s="224"/>
      <c r="D23" s="224"/>
      <c r="E23" s="224"/>
      <c r="F23" s="224"/>
      <c r="G23" s="224"/>
      <c r="H23" s="224"/>
      <c r="I23" s="224"/>
    </row>
    <row r="24" spans="1:9" x14ac:dyDescent="0.25">
      <c r="A24" s="224"/>
      <c r="B24" s="224"/>
      <c r="C24" s="224"/>
      <c r="D24" s="224"/>
      <c r="E24" s="224"/>
      <c r="F24" s="224"/>
      <c r="G24" s="224"/>
      <c r="H24" s="224"/>
      <c r="I24" s="224"/>
    </row>
    <row r="25" spans="1:9" x14ac:dyDescent="0.25">
      <c r="A25" s="224"/>
      <c r="B25" s="224"/>
      <c r="C25" s="224"/>
      <c r="D25" s="224"/>
      <c r="E25" s="224"/>
      <c r="F25" s="224"/>
      <c r="G25" s="224"/>
      <c r="H25" s="224"/>
      <c r="I25" s="224"/>
    </row>
    <row r="26" spans="1:9" x14ac:dyDescent="0.25">
      <c r="A26" s="224"/>
      <c r="B26" s="224"/>
      <c r="C26" s="224"/>
      <c r="D26" s="224"/>
      <c r="E26" s="224"/>
      <c r="F26" s="224"/>
      <c r="G26" s="224"/>
      <c r="H26" s="224"/>
      <c r="I26" s="224"/>
    </row>
    <row r="27" spans="1:9" x14ac:dyDescent="0.25">
      <c r="A27" s="224"/>
      <c r="B27" s="224"/>
      <c r="C27" s="224"/>
      <c r="D27" s="224"/>
      <c r="E27" s="224"/>
      <c r="F27" s="224"/>
      <c r="G27" s="224"/>
      <c r="H27" s="224"/>
      <c r="I27" s="224"/>
    </row>
    <row r="28" spans="1:9" x14ac:dyDescent="0.25">
      <c r="A28" s="224"/>
      <c r="B28" s="224"/>
      <c r="C28" s="224"/>
      <c r="D28" s="224"/>
      <c r="E28" s="224"/>
      <c r="F28" s="224"/>
      <c r="G28" s="224"/>
      <c r="H28" s="224"/>
      <c r="I28" s="224"/>
    </row>
    <row r="29" spans="1:9" x14ac:dyDescent="0.25">
      <c r="A29" s="224"/>
      <c r="B29" s="224"/>
      <c r="C29" s="224"/>
      <c r="D29" s="224"/>
      <c r="E29" s="224"/>
      <c r="F29" s="224"/>
      <c r="G29" s="224"/>
      <c r="H29" s="224"/>
      <c r="I29" s="224"/>
    </row>
    <row r="30" spans="1:9" x14ac:dyDescent="0.25">
      <c r="A30" s="224"/>
      <c r="B30" s="224"/>
      <c r="C30" s="224"/>
      <c r="D30" s="224"/>
      <c r="E30" s="224"/>
      <c r="F30" s="224"/>
      <c r="G30" s="224"/>
      <c r="H30" s="224"/>
      <c r="I30" s="224"/>
    </row>
    <row r="31" spans="1:9" x14ac:dyDescent="0.25">
      <c r="A31" s="224"/>
      <c r="B31" s="224"/>
      <c r="C31" s="224"/>
      <c r="D31" s="224"/>
      <c r="E31" s="224"/>
      <c r="F31" s="224"/>
      <c r="G31" s="224"/>
      <c r="H31" s="224"/>
      <c r="I31" s="224"/>
    </row>
    <row r="32" spans="1:9" x14ac:dyDescent="0.25">
      <c r="A32" s="224"/>
      <c r="B32" s="224"/>
      <c r="C32" s="224"/>
      <c r="D32" s="224"/>
      <c r="E32" s="224"/>
      <c r="F32" s="224"/>
      <c r="G32" s="224"/>
      <c r="H32" s="224"/>
      <c r="I32" s="224"/>
    </row>
    <row r="33" spans="1:9" x14ac:dyDescent="0.25">
      <c r="A33" s="224"/>
      <c r="B33" s="224"/>
      <c r="C33" s="224"/>
      <c r="D33" s="224"/>
      <c r="E33" s="224"/>
      <c r="F33" s="224"/>
      <c r="G33" s="224"/>
      <c r="H33" s="224"/>
      <c r="I33" s="224"/>
    </row>
    <row r="34" spans="1:9" x14ac:dyDescent="0.25">
      <c r="A34" s="224"/>
      <c r="B34" s="224"/>
      <c r="C34" s="224"/>
      <c r="D34" s="224"/>
      <c r="E34" s="224"/>
      <c r="F34" s="224"/>
      <c r="G34" s="224"/>
      <c r="H34" s="224"/>
      <c r="I34" s="224"/>
    </row>
    <row r="35" spans="1:9" x14ac:dyDescent="0.25">
      <c r="A35" s="224"/>
      <c r="B35" s="224"/>
      <c r="C35" s="224"/>
      <c r="D35" s="224"/>
      <c r="E35" s="224"/>
      <c r="F35" s="224"/>
      <c r="G35" s="224"/>
      <c r="H35" s="224"/>
      <c r="I35" s="224"/>
    </row>
    <row r="36" spans="1:9" x14ac:dyDescent="0.25">
      <c r="A36" s="224"/>
      <c r="B36" s="224"/>
      <c r="C36" s="224"/>
      <c r="D36" s="224"/>
      <c r="E36" s="224"/>
      <c r="F36" s="224"/>
      <c r="G36" s="224"/>
      <c r="H36" s="224"/>
      <c r="I36" s="224"/>
    </row>
    <row r="37" spans="1:9" x14ac:dyDescent="0.25">
      <c r="A37" s="224"/>
      <c r="B37" s="224"/>
      <c r="C37" s="224"/>
      <c r="D37" s="224"/>
      <c r="E37" s="224"/>
      <c r="F37" s="224"/>
      <c r="G37" s="224"/>
      <c r="H37" s="224"/>
      <c r="I37" s="224"/>
    </row>
    <row r="38" spans="1:9" x14ac:dyDescent="0.25">
      <c r="A38" s="224"/>
      <c r="B38" s="224"/>
      <c r="C38" s="224"/>
      <c r="D38" s="224"/>
      <c r="E38" s="224"/>
      <c r="F38" s="224"/>
      <c r="G38" s="224"/>
      <c r="H38" s="224"/>
      <c r="I38" s="224"/>
    </row>
    <row r="39" spans="1:9" x14ac:dyDescent="0.25">
      <c r="A39" s="224"/>
      <c r="B39" s="224"/>
      <c r="C39" s="224"/>
      <c r="D39" s="224"/>
      <c r="E39" s="224"/>
      <c r="F39" s="224"/>
      <c r="G39" s="224"/>
      <c r="H39" s="224"/>
      <c r="I39" s="224"/>
    </row>
    <row r="40" spans="1:9" x14ac:dyDescent="0.25">
      <c r="A40" s="224"/>
      <c r="B40" s="224"/>
      <c r="C40" s="224"/>
      <c r="D40" s="224"/>
      <c r="E40" s="224"/>
      <c r="F40" s="224"/>
      <c r="G40" s="224"/>
      <c r="H40" s="224"/>
      <c r="I40" s="224"/>
    </row>
    <row r="41" spans="1:9" x14ac:dyDescent="0.25">
      <c r="A41" s="224"/>
      <c r="B41" s="224"/>
      <c r="C41" s="224"/>
      <c r="D41" s="224"/>
      <c r="E41" s="224"/>
      <c r="F41" s="224"/>
      <c r="G41" s="224"/>
      <c r="H41" s="224"/>
      <c r="I41" s="224"/>
    </row>
    <row r="42" spans="1:9" x14ac:dyDescent="0.25">
      <c r="A42" s="224"/>
      <c r="B42" s="224"/>
      <c r="C42" s="224"/>
      <c r="D42" s="224"/>
      <c r="E42" s="224"/>
      <c r="F42" s="224"/>
      <c r="G42" s="224"/>
      <c r="H42" s="224"/>
      <c r="I42" s="224"/>
    </row>
    <row r="43" spans="1:9" x14ac:dyDescent="0.25">
      <c r="A43" s="224"/>
      <c r="B43" s="224"/>
      <c r="C43" s="224"/>
      <c r="D43" s="224"/>
      <c r="E43" s="224"/>
      <c r="F43" s="224"/>
      <c r="G43" s="224"/>
      <c r="H43" s="224"/>
      <c r="I43" s="224"/>
    </row>
    <row r="44" spans="1:9" x14ac:dyDescent="0.25">
      <c r="A44" s="224"/>
      <c r="B44" s="224"/>
      <c r="C44" s="224"/>
      <c r="D44" s="224"/>
      <c r="E44" s="224"/>
      <c r="F44" s="224"/>
      <c r="G44" s="224"/>
      <c r="H44" s="224"/>
      <c r="I44" s="224"/>
    </row>
    <row r="45" spans="1:9" x14ac:dyDescent="0.25">
      <c r="A45" s="224"/>
      <c r="B45" s="224"/>
      <c r="C45" s="224"/>
      <c r="D45" s="224"/>
      <c r="E45" s="224"/>
      <c r="F45" s="224"/>
      <c r="G45" s="224"/>
      <c r="H45" s="224"/>
      <c r="I45" s="224"/>
    </row>
    <row r="46" spans="1:9" x14ac:dyDescent="0.25">
      <c r="A46" s="224"/>
      <c r="B46" s="224"/>
      <c r="C46" s="224"/>
      <c r="D46" s="224"/>
      <c r="E46" s="224"/>
      <c r="F46" s="224"/>
      <c r="G46" s="224"/>
      <c r="H46" s="224"/>
      <c r="I46" s="224"/>
    </row>
    <row r="47" spans="1:9" x14ac:dyDescent="0.25">
      <c r="A47" s="224"/>
      <c r="B47" s="224"/>
      <c r="C47" s="224"/>
      <c r="D47" s="224"/>
      <c r="E47" s="224"/>
      <c r="F47" s="224"/>
      <c r="G47" s="224"/>
      <c r="H47" s="224"/>
      <c r="I47" s="224"/>
    </row>
    <row r="48" spans="1:9" x14ac:dyDescent="0.25">
      <c r="A48" s="224"/>
      <c r="B48" s="224"/>
      <c r="C48" s="224"/>
      <c r="D48" s="224"/>
      <c r="E48" s="224"/>
      <c r="F48" s="224"/>
      <c r="G48" s="224"/>
      <c r="H48" s="224"/>
      <c r="I48" s="224"/>
    </row>
    <row r="49" spans="1:9" x14ac:dyDescent="0.25">
      <c r="A49" s="224"/>
      <c r="B49" s="224"/>
      <c r="C49" s="224"/>
      <c r="D49" s="224"/>
      <c r="E49" s="224"/>
      <c r="F49" s="224"/>
      <c r="G49" s="224"/>
      <c r="H49" s="224"/>
      <c r="I49" s="224"/>
    </row>
    <row r="50" spans="1:9" x14ac:dyDescent="0.25">
      <c r="A50" s="224"/>
      <c r="B50" s="224"/>
      <c r="C50" s="224"/>
      <c r="D50" s="224"/>
      <c r="E50" s="224"/>
      <c r="F50" s="224"/>
      <c r="G50" s="224"/>
      <c r="H50" s="224"/>
      <c r="I50" s="224"/>
    </row>
  </sheetData>
  <mergeCells count="1">
    <mergeCell ref="A1:I50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D42"/>
  <sheetViews>
    <sheetView rightToLeft="1" workbookViewId="0">
      <selection activeCell="A4" sqref="A4"/>
    </sheetView>
  </sheetViews>
  <sheetFormatPr defaultRowHeight="15" x14ac:dyDescent="0.25"/>
  <cols>
    <col min="1" max="1" width="31" style="68" bestFit="1" customWidth="1"/>
    <col min="2" max="2" width="11" style="68" customWidth="1"/>
    <col min="3" max="3" width="15" style="73" bestFit="1" customWidth="1"/>
    <col min="4" max="4" width="17.42578125" style="68" bestFit="1" customWidth="1"/>
    <col min="5" max="16384" width="9.140625" style="68"/>
  </cols>
  <sheetData>
    <row r="1" spans="1:4" s="64" customFormat="1" x14ac:dyDescent="0.25">
      <c r="A1" s="29" t="s">
        <v>0</v>
      </c>
      <c r="B1" s="62" t="s">
        <v>102</v>
      </c>
      <c r="C1" s="63" t="s">
        <v>103</v>
      </c>
      <c r="D1" s="29" t="s">
        <v>104</v>
      </c>
    </row>
    <row r="2" spans="1:4" x14ac:dyDescent="0.25">
      <c r="A2" s="65" t="s">
        <v>30</v>
      </c>
      <c r="B2" s="66">
        <f>INPUT!$E$2</f>
        <v>2025</v>
      </c>
      <c r="C2" s="67">
        <f>IFERROR(
  AVERAGEIFS(
    AUTO_MONTHLY!$C:$C,
    AUTO_MONTHLY!$A:$A, $A2,
    AUTO_MONTHLY!$C:$C, "&gt;0"
  ),
0)</f>
        <v>0</v>
      </c>
      <c r="D2" s="66" t="str">
        <f>IF(C2=0,"",
 IF(C2*100&lt;60,"ضعيف",
 IF(C2*100&lt;70,"متوسط",
 IF(C2*100&lt;80,"جيد",
 IF(C2*100&lt;90,"جيد جدا",
 "ممتاز")))))</f>
        <v/>
      </c>
    </row>
    <row r="3" spans="1:4" x14ac:dyDescent="0.25">
      <c r="A3" s="65" t="s">
        <v>16</v>
      </c>
      <c r="B3" s="66">
        <f>INPUT!$E$2</f>
        <v>2025</v>
      </c>
      <c r="C3" s="67">
        <f>IFERROR(
  AVERAGEIFS(
    AUTO_MONTHLY!$C:$C,
    AUTO_MONTHLY!$A:$A, $A3,
    AUTO_MONTHLY!$C:$C, "&gt;0"
  ),
0)</f>
        <v>0</v>
      </c>
      <c r="D3" s="66" t="str">
        <f t="shared" ref="D3:D31" si="0">IF(C3=0,"",
 IF(C3*100&lt;60,"ضعيف",
 IF(C3*100&lt;70,"متوسط",
 IF(C3*100&lt;80,"جيد",
 IF(C3*100&lt;90,"جيد جدا",
 "ممتاز")))))</f>
        <v/>
      </c>
    </row>
    <row r="4" spans="1:4" x14ac:dyDescent="0.25">
      <c r="A4" s="65" t="s">
        <v>36</v>
      </c>
      <c r="B4" s="66">
        <f>INPUT!$E$2</f>
        <v>2025</v>
      </c>
      <c r="C4" s="67">
        <f>IFERROR(
  AVERAGEIFS(
    AUTO_MONTHLY!$C:$C,
    AUTO_MONTHLY!$A:$A, $A4,
    AUTO_MONTHLY!$C:$C, "&gt;0"
  ),
0)</f>
        <v>0.8</v>
      </c>
      <c r="D4" s="66" t="str">
        <f t="shared" si="0"/>
        <v>جيد جدا</v>
      </c>
    </row>
    <row r="5" spans="1:4" x14ac:dyDescent="0.25">
      <c r="A5" s="65" t="s">
        <v>39</v>
      </c>
      <c r="B5" s="66">
        <f>INPUT!$E$2</f>
        <v>2025</v>
      </c>
      <c r="C5" s="67">
        <f>IFERROR(
  AVERAGEIFS(
    AUTO_MONTHLY!$C:$C,
    AUTO_MONTHLY!$A:$A, $A5,
    AUTO_MONTHLY!$C:$C, "&gt;0"
  ),
0)</f>
        <v>0</v>
      </c>
      <c r="D5" s="66" t="str">
        <f t="shared" si="0"/>
        <v/>
      </c>
    </row>
    <row r="6" spans="1:4" x14ac:dyDescent="0.25">
      <c r="A6" s="65"/>
      <c r="B6" s="66">
        <f>INPUT!$E$2</f>
        <v>2025</v>
      </c>
      <c r="C6" s="67">
        <f>IFERROR(
  AVERAGEIFS(
    AUTO_MONTHLY!$C:$C,
    AUTO_MONTHLY!$A:$A, $A6,
    AUTO_MONTHLY!$C:$C, "&gt;0"
  ),
0)</f>
        <v>0</v>
      </c>
      <c r="D6" s="66" t="str">
        <f t="shared" si="0"/>
        <v/>
      </c>
    </row>
    <row r="7" spans="1:4" x14ac:dyDescent="0.25">
      <c r="A7" s="65"/>
      <c r="B7" s="66">
        <f>INPUT!$E$2</f>
        <v>2025</v>
      </c>
      <c r="C7" s="67">
        <f>IFERROR(
  AVERAGEIFS(
    AUTO_MONTHLY!$C:$C,
    AUTO_MONTHLY!$A:$A, $A7,
    AUTO_MONTHLY!$C:$C, "&gt;0"
  ),
0)</f>
        <v>0</v>
      </c>
      <c r="D7" s="66" t="str">
        <f t="shared" si="0"/>
        <v/>
      </c>
    </row>
    <row r="8" spans="1:4" x14ac:dyDescent="0.25">
      <c r="A8" s="65"/>
      <c r="B8" s="66">
        <f>INPUT!$E$2</f>
        <v>2025</v>
      </c>
      <c r="C8" s="67">
        <f>IFERROR(
  AVERAGEIFS(
    AUTO_MONTHLY!$C:$C,
    AUTO_MONTHLY!$A:$A, $A8,
    AUTO_MONTHLY!$C:$C, "&gt;0"
  ),
0)</f>
        <v>0</v>
      </c>
      <c r="D8" s="66" t="str">
        <f t="shared" si="0"/>
        <v/>
      </c>
    </row>
    <row r="9" spans="1:4" x14ac:dyDescent="0.25">
      <c r="A9" s="65"/>
      <c r="B9" s="66">
        <f>INPUT!$E$2</f>
        <v>2025</v>
      </c>
      <c r="C9" s="67">
        <f>IFERROR(
  AVERAGEIFS(
    AUTO_MONTHLY!$C:$C,
    AUTO_MONTHLY!$A:$A, $A9,
    AUTO_MONTHLY!$C:$C, "&gt;0"
  ),
0)</f>
        <v>0</v>
      </c>
      <c r="D9" s="66" t="str">
        <f t="shared" si="0"/>
        <v/>
      </c>
    </row>
    <row r="10" spans="1:4" x14ac:dyDescent="0.25">
      <c r="A10" s="65"/>
      <c r="B10" s="66">
        <f>INPUT!$E$2</f>
        <v>2025</v>
      </c>
      <c r="C10" s="67">
        <f>IFERROR(
  AVERAGEIFS(
    AUTO_MONTHLY!$C:$C,
    AUTO_MONTHLY!$A:$A, $A10,
    AUTO_MONTHLY!$C:$C, "&gt;0"
  ),
0)</f>
        <v>0</v>
      </c>
      <c r="D10" s="66" t="str">
        <f t="shared" si="0"/>
        <v/>
      </c>
    </row>
    <row r="11" spans="1:4" x14ac:dyDescent="0.25">
      <c r="A11" s="65"/>
      <c r="B11" s="66">
        <f>INPUT!$E$2</f>
        <v>2025</v>
      </c>
      <c r="C11" s="67">
        <f>IFERROR(
  AVERAGEIFS(
    AUTO_MONTHLY!$C:$C,
    AUTO_MONTHLY!$A:$A, $A11,
    AUTO_MONTHLY!$C:$C, "&gt;0"
  ),
0)</f>
        <v>0</v>
      </c>
      <c r="D11" s="66" t="str">
        <f t="shared" si="0"/>
        <v/>
      </c>
    </row>
    <row r="12" spans="1:4" x14ac:dyDescent="0.25">
      <c r="A12" s="65"/>
      <c r="B12" s="66">
        <f>INPUT!$E$2</f>
        <v>2025</v>
      </c>
      <c r="C12" s="67">
        <f>IFERROR(
  AVERAGEIFS(
    AUTO_MONTHLY!$C:$C,
    AUTO_MONTHLY!$A:$A, $A12,
    AUTO_MONTHLY!$C:$C, "&gt;0"
  ),
0)</f>
        <v>0</v>
      </c>
      <c r="D12" s="66" t="str">
        <f t="shared" si="0"/>
        <v/>
      </c>
    </row>
    <row r="13" spans="1:4" x14ac:dyDescent="0.25">
      <c r="A13" s="65"/>
      <c r="B13" s="66">
        <f>INPUT!$E$2</f>
        <v>2025</v>
      </c>
      <c r="C13" s="67">
        <f>IFERROR(
  AVERAGEIFS(
    AUTO_MONTHLY!$C:$C,
    AUTO_MONTHLY!$A:$A, $A13,
    AUTO_MONTHLY!$C:$C, "&gt;0"
  ),
0)</f>
        <v>0</v>
      </c>
      <c r="D13" s="66" t="str">
        <f t="shared" si="0"/>
        <v/>
      </c>
    </row>
    <row r="14" spans="1:4" x14ac:dyDescent="0.25">
      <c r="A14" s="65"/>
      <c r="B14" s="66">
        <f>INPUT!$E$2</f>
        <v>2025</v>
      </c>
      <c r="C14" s="67">
        <f>IFERROR(
  AVERAGEIFS(
    AUTO_MONTHLY!$C:$C,
    AUTO_MONTHLY!$A:$A, $A14,
    AUTO_MONTHLY!$C:$C, "&gt;0"
  ),
0)</f>
        <v>0</v>
      </c>
      <c r="D14" s="66" t="str">
        <f t="shared" si="0"/>
        <v/>
      </c>
    </row>
    <row r="15" spans="1:4" x14ac:dyDescent="0.25">
      <c r="A15" s="65"/>
      <c r="B15" s="66">
        <f>INPUT!$E$2</f>
        <v>2025</v>
      </c>
      <c r="C15" s="67">
        <f>IFERROR(
  AVERAGEIFS(
    AUTO_MONTHLY!$C:$C,
    AUTO_MONTHLY!$A:$A, $A15,
    AUTO_MONTHLY!$C:$C, "&gt;0"
  ),
0)</f>
        <v>0</v>
      </c>
      <c r="D15" s="66" t="str">
        <f t="shared" si="0"/>
        <v/>
      </c>
    </row>
    <row r="16" spans="1:4" x14ac:dyDescent="0.25">
      <c r="A16" s="65"/>
      <c r="B16" s="66">
        <f>INPUT!$E$2</f>
        <v>2025</v>
      </c>
      <c r="C16" s="67">
        <f>IFERROR(
  AVERAGEIFS(
    AUTO_MONTHLY!$C:$C,
    AUTO_MONTHLY!$A:$A, $A16,
    AUTO_MONTHLY!$C:$C, "&gt;0"
  ),
0)</f>
        <v>0</v>
      </c>
      <c r="D16" s="66" t="str">
        <f t="shared" si="0"/>
        <v/>
      </c>
    </row>
    <row r="17" spans="1:4" x14ac:dyDescent="0.25">
      <c r="A17" s="65"/>
      <c r="B17" s="66">
        <f>INPUT!$E$2</f>
        <v>2025</v>
      </c>
      <c r="C17" s="67">
        <f>IFERROR(
  AVERAGEIFS(
    AUTO_MONTHLY!$C:$C,
    AUTO_MONTHLY!$A:$A, $A17,
    AUTO_MONTHLY!$C:$C, "&gt;0"
  ),
0)</f>
        <v>0</v>
      </c>
      <c r="D17" s="66" t="str">
        <f t="shared" si="0"/>
        <v/>
      </c>
    </row>
    <row r="18" spans="1:4" x14ac:dyDescent="0.25">
      <c r="A18" s="65"/>
      <c r="B18" s="66">
        <f>INPUT!$E$2</f>
        <v>2025</v>
      </c>
      <c r="C18" s="67">
        <f>IFERROR(
  AVERAGEIFS(
    AUTO_MONTHLY!$C:$C,
    AUTO_MONTHLY!$A:$A, $A18,
    AUTO_MONTHLY!$C:$C, "&gt;0"
  ),
0)</f>
        <v>0</v>
      </c>
      <c r="D18" s="66" t="str">
        <f t="shared" si="0"/>
        <v/>
      </c>
    </row>
    <row r="19" spans="1:4" x14ac:dyDescent="0.25">
      <c r="A19" s="65"/>
      <c r="B19" s="66">
        <f>INPUT!$E$2</f>
        <v>2025</v>
      </c>
      <c r="C19" s="67">
        <f>IFERROR(
  AVERAGEIFS(
    AUTO_MONTHLY!$C:$C,
    AUTO_MONTHLY!$A:$A, $A19,
    AUTO_MONTHLY!$C:$C, "&gt;0"
  ),
0)</f>
        <v>0</v>
      </c>
      <c r="D19" s="66" t="str">
        <f t="shared" si="0"/>
        <v/>
      </c>
    </row>
    <row r="20" spans="1:4" x14ac:dyDescent="0.25">
      <c r="A20" s="65"/>
      <c r="B20" s="66">
        <f>INPUT!$E$2</f>
        <v>2025</v>
      </c>
      <c r="C20" s="67">
        <f>IFERROR(
  AVERAGEIFS(
    AUTO_MONTHLY!$C:$C,
    AUTO_MONTHLY!$A:$A, $A20,
    AUTO_MONTHLY!$C:$C, "&gt;0"
  ),
0)</f>
        <v>0</v>
      </c>
      <c r="D20" s="66" t="str">
        <f t="shared" si="0"/>
        <v/>
      </c>
    </row>
    <row r="21" spans="1:4" x14ac:dyDescent="0.25">
      <c r="A21" s="65"/>
      <c r="B21" s="66">
        <f>INPUT!$E$2</f>
        <v>2025</v>
      </c>
      <c r="C21" s="67">
        <f>IFERROR(
  AVERAGEIFS(
    AUTO_MONTHLY!$C:$C,
    AUTO_MONTHLY!$A:$A, $A21,
    AUTO_MONTHLY!$C:$C, "&gt;0"
  ),
0)</f>
        <v>0</v>
      </c>
      <c r="D21" s="66" t="str">
        <f t="shared" si="0"/>
        <v/>
      </c>
    </row>
    <row r="22" spans="1:4" x14ac:dyDescent="0.25">
      <c r="A22" s="65"/>
      <c r="B22" s="66">
        <f>INPUT!$E$2</f>
        <v>2025</v>
      </c>
      <c r="C22" s="67">
        <f>IFERROR(
  AVERAGEIFS(
    AUTO_MONTHLY!$C:$C,
    AUTO_MONTHLY!$A:$A, $A22,
    AUTO_MONTHLY!$C:$C, "&gt;0"
  ),
0)</f>
        <v>0</v>
      </c>
      <c r="D22" s="66" t="str">
        <f t="shared" si="0"/>
        <v/>
      </c>
    </row>
    <row r="23" spans="1:4" x14ac:dyDescent="0.25">
      <c r="A23" s="65"/>
      <c r="B23" s="66">
        <f>INPUT!$E$2</f>
        <v>2025</v>
      </c>
      <c r="C23" s="67">
        <f>IFERROR(
  AVERAGEIFS(
    AUTO_MONTHLY!$C:$C,
    AUTO_MONTHLY!$A:$A, $A23,
    AUTO_MONTHLY!$C:$C, "&gt;0"
  ),
0)</f>
        <v>0</v>
      </c>
      <c r="D23" s="66" t="str">
        <f t="shared" si="0"/>
        <v/>
      </c>
    </row>
    <row r="24" spans="1:4" x14ac:dyDescent="0.25">
      <c r="A24" s="65"/>
      <c r="B24" s="66">
        <f>INPUT!$E$2</f>
        <v>2025</v>
      </c>
      <c r="C24" s="67">
        <f>IFERROR(
  AVERAGEIFS(
    AUTO_MONTHLY!$C:$C,
    AUTO_MONTHLY!$A:$A, $A24,
    AUTO_MONTHLY!$C:$C, "&gt;0"
  ),
0)</f>
        <v>0</v>
      </c>
      <c r="D24" s="66" t="str">
        <f t="shared" si="0"/>
        <v/>
      </c>
    </row>
    <row r="25" spans="1:4" x14ac:dyDescent="0.25">
      <c r="A25" s="65"/>
      <c r="B25" s="66">
        <f>INPUT!$E$2</f>
        <v>2025</v>
      </c>
      <c r="C25" s="67">
        <f>IFERROR(
  AVERAGEIFS(
    AUTO_MONTHLY!$C:$C,
    AUTO_MONTHLY!$A:$A, $A25,
    AUTO_MONTHLY!$C:$C, "&gt;0"
  ),
0)</f>
        <v>0</v>
      </c>
      <c r="D25" s="66" t="str">
        <f t="shared" si="0"/>
        <v/>
      </c>
    </row>
    <row r="26" spans="1:4" x14ac:dyDescent="0.25">
      <c r="A26" s="65"/>
      <c r="B26" s="66">
        <f>INPUT!$E$2</f>
        <v>2025</v>
      </c>
      <c r="C26" s="67">
        <f>IFERROR(
  AVERAGEIFS(
    AUTO_MONTHLY!$C:$C,
    AUTO_MONTHLY!$A:$A, $A26,
    AUTO_MONTHLY!$C:$C, "&gt;0"
  ),
0)</f>
        <v>0</v>
      </c>
      <c r="D26" s="66" t="str">
        <f t="shared" si="0"/>
        <v/>
      </c>
    </row>
    <row r="27" spans="1:4" x14ac:dyDescent="0.25">
      <c r="A27" s="65"/>
      <c r="B27" s="66">
        <f>INPUT!$E$2</f>
        <v>2025</v>
      </c>
      <c r="C27" s="67">
        <f>IFERROR(
  AVERAGEIFS(
    AUTO_MONTHLY!$C:$C,
    AUTO_MONTHLY!$A:$A, $A27,
    AUTO_MONTHLY!$C:$C, "&gt;0"
  ),
0)</f>
        <v>0</v>
      </c>
      <c r="D27" s="66" t="str">
        <f t="shared" si="0"/>
        <v/>
      </c>
    </row>
    <row r="28" spans="1:4" x14ac:dyDescent="0.25">
      <c r="A28" s="65"/>
      <c r="B28" s="66">
        <f>INPUT!$E$2</f>
        <v>2025</v>
      </c>
      <c r="C28" s="67">
        <f>IFERROR(
  AVERAGEIFS(
    AUTO_MONTHLY!$C:$C,
    AUTO_MONTHLY!$A:$A, $A28,
    AUTO_MONTHLY!$C:$C, "&gt;0"
  ),
0)</f>
        <v>0</v>
      </c>
      <c r="D28" s="66" t="str">
        <f t="shared" si="0"/>
        <v/>
      </c>
    </row>
    <row r="29" spans="1:4" x14ac:dyDescent="0.25">
      <c r="A29" s="65"/>
      <c r="B29" s="66">
        <f>INPUT!$E$2</f>
        <v>2025</v>
      </c>
      <c r="C29" s="67">
        <f>IFERROR(
  AVERAGEIFS(
    AUTO_MONTHLY!$C:$C,
    AUTO_MONTHLY!$A:$A, $A29,
    AUTO_MONTHLY!$C:$C, "&gt;0"
  ),
0)</f>
        <v>0</v>
      </c>
      <c r="D29" s="66" t="str">
        <f t="shared" si="0"/>
        <v/>
      </c>
    </row>
    <row r="30" spans="1:4" x14ac:dyDescent="0.25">
      <c r="A30" s="65"/>
      <c r="B30" s="66">
        <f>INPUT!$E$2</f>
        <v>2025</v>
      </c>
      <c r="C30" s="67">
        <f>IFERROR(
  AVERAGEIFS(
    AUTO_MONTHLY!$C:$C,
    AUTO_MONTHLY!$A:$A, $A30,
    AUTO_MONTHLY!$C:$C, "&gt;0"
  ),
0)</f>
        <v>0</v>
      </c>
      <c r="D30" s="66" t="str">
        <f t="shared" si="0"/>
        <v/>
      </c>
    </row>
    <row r="31" spans="1:4" x14ac:dyDescent="0.25">
      <c r="A31" s="65"/>
      <c r="B31" s="66">
        <f>INPUT!$E$2</f>
        <v>2025</v>
      </c>
      <c r="C31" s="67">
        <f>IFERROR(
  AVERAGEIFS(
    AUTO_MONTHLY!$C:$C,
    AUTO_MONTHLY!$A:$A, $A31,
    AUTO_MONTHLY!$C:$C, "&gt;0"
  ),
0)</f>
        <v>0</v>
      </c>
      <c r="D31" s="66" t="str">
        <f t="shared" si="0"/>
        <v/>
      </c>
    </row>
    <row r="32" spans="1:4" x14ac:dyDescent="0.25">
      <c r="A32" s="65"/>
      <c r="B32" s="66">
        <f>INPUT!$E$2</f>
        <v>2025</v>
      </c>
      <c r="C32" s="67">
        <f>IFERROR(
  AVERAGEIFS(
    AUTO_MONTHLY!$C:$C,
    AUTO_MONTHLY!$A:$A, $A32,
    AUTO_MONTHLY!$C:$C, "&gt;0"
  ),
0)</f>
        <v>0</v>
      </c>
      <c r="D32" s="66"/>
    </row>
    <row r="33" spans="1:4" x14ac:dyDescent="0.25">
      <c r="A33" s="65"/>
      <c r="B33" s="66">
        <f>INPUT!$E$2</f>
        <v>2025</v>
      </c>
      <c r="C33" s="67">
        <f>IFERROR(
  AVERAGEIFS(
    AUTO_MONTHLY!$C:$C,
    AUTO_MONTHLY!$A:$A, $A33,
    AUTO_MONTHLY!$C:$C, "&gt;0"
  ),
0)</f>
        <v>0</v>
      </c>
      <c r="D33" s="66"/>
    </row>
    <row r="34" spans="1:4" x14ac:dyDescent="0.25">
      <c r="A34" s="65"/>
      <c r="B34" s="66">
        <f>INPUT!$E$2</f>
        <v>2025</v>
      </c>
      <c r="C34" s="67">
        <f>IFERROR(
  AVERAGEIFS(
    AUTO_MONTHLY!$C:$C,
    AUTO_MONTHLY!$A:$A, $A34,
    AUTO_MONTHLY!$C:$C, "&gt;0"
  ),
0)</f>
        <v>0</v>
      </c>
      <c r="D34" s="66"/>
    </row>
    <row r="35" spans="1:4" x14ac:dyDescent="0.25">
      <c r="A35" s="65"/>
      <c r="B35" s="66">
        <f>INPUT!$E$2</f>
        <v>2025</v>
      </c>
      <c r="C35" s="67">
        <f>IFERROR(
  AVERAGEIFS(
    AUTO_MONTHLY!$C:$C,
    AUTO_MONTHLY!$A:$A, $A35,
    AUTO_MONTHLY!$C:$C, "&gt;0"
  ),
0)</f>
        <v>0</v>
      </c>
      <c r="D35" s="66"/>
    </row>
    <row r="36" spans="1:4" x14ac:dyDescent="0.25">
      <c r="A36" s="65"/>
      <c r="B36" s="66">
        <f>INPUT!$E$2</f>
        <v>2025</v>
      </c>
      <c r="C36" s="67">
        <f>IFERROR(
  AVERAGEIFS(
    AUTO_MONTHLY!$C:$C,
    AUTO_MONTHLY!$A:$A, $A36,
    AUTO_MONTHLY!$C:$C, "&gt;0"
  ),
0)</f>
        <v>0</v>
      </c>
      <c r="D36" s="66"/>
    </row>
    <row r="37" spans="1:4" x14ac:dyDescent="0.25">
      <c r="A37" s="65"/>
      <c r="B37" s="66">
        <f>INPUT!$E$2</f>
        <v>2025</v>
      </c>
      <c r="C37" s="67">
        <f>IFERROR(
  AVERAGEIFS(
    AUTO_MONTHLY!$C:$C,
    AUTO_MONTHLY!$A:$A, $A37,
    AUTO_MONTHLY!$C:$C, "&gt;0"
  ),
0)</f>
        <v>0</v>
      </c>
      <c r="D37" s="66"/>
    </row>
    <row r="38" spans="1:4" x14ac:dyDescent="0.25">
      <c r="A38" s="69"/>
      <c r="B38" s="69">
        <f>INPUT!$E$2</f>
        <v>2025</v>
      </c>
      <c r="C38" s="70">
        <f>IFERROR(
  AVERAGEIFS(
    AUTO_MONTHLY!$C:$C,
    AUTO_MONTHLY!$A:$A, $A38,
    AUTO_MONTHLY!$C:$C, "&gt;0"
  ),
0)</f>
        <v>0</v>
      </c>
      <c r="D38" s="69"/>
    </row>
    <row r="39" spans="1:4" x14ac:dyDescent="0.25">
      <c r="A39" s="71"/>
      <c r="B39" s="71">
        <f>INPUT!$E$2</f>
        <v>2025</v>
      </c>
      <c r="C39" s="72">
        <f>IFERROR(
  AVERAGEIFS(
    AUTO_MONTHLY!$C:$C,
    AUTO_MONTHLY!$A:$A, $A39,
    AUTO_MONTHLY!$C:$C, "&gt;0"
  ),
0)</f>
        <v>0</v>
      </c>
      <c r="D39" s="71"/>
    </row>
    <row r="40" spans="1:4" x14ac:dyDescent="0.25">
      <c r="A40" s="71"/>
      <c r="B40" s="71">
        <f>INPUT!$E$2</f>
        <v>2025</v>
      </c>
      <c r="C40" s="72">
        <f>IFERROR(
  AVERAGEIFS(
    AUTO_MONTHLY!$C:$C,
    AUTO_MONTHLY!$A:$A, $A40,
    AUTO_MONTHLY!$C:$C, "&gt;0"
  ),
0)</f>
        <v>0</v>
      </c>
      <c r="D40" s="71"/>
    </row>
    <row r="41" spans="1:4" x14ac:dyDescent="0.25">
      <c r="A41" s="71"/>
      <c r="B41" s="71">
        <f>INPUT!$E$2</f>
        <v>2025</v>
      </c>
      <c r="C41" s="72">
        <f>IFERROR(
  AVERAGEIFS(
    AUTO_MONTHLY!$C:$C,
    AUTO_MONTHLY!$A:$A, $A41,
    AUTO_MONTHLY!$C:$C, "&gt;0"
  ),
0)</f>
        <v>0</v>
      </c>
      <c r="D41" s="71"/>
    </row>
    <row r="42" spans="1:4" x14ac:dyDescent="0.25">
      <c r="A42" s="71"/>
      <c r="B42" s="71">
        <f>INPUT!$E$2</f>
        <v>2025</v>
      </c>
      <c r="C42" s="72">
        <f>IFERROR(
  AVERAGEIFS(
    AUTO_MONTHLY!$C:$C,
    AUTO_MONTHLY!$A:$A, $A42,
    AUTO_MONTHLY!$C:$C, "&gt;0"
  ),
0)</f>
        <v>0</v>
      </c>
      <c r="D42" s="71"/>
    </row>
  </sheetData>
  <sheetProtection formatCells="0" formatColumns="0" formatRows="0" insertColumns="0" insertRows="0" deleteColumns="0" deleteRows="0" sort="0" autoFilter="0" pivotTables="0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CDDDA5-9814-4D07-B0B7-62A03BFD3BA0}">
          <x14:formula1>
            <xm:f>EMPLOYEES!$A$2:$A$50</xm:f>
          </x14:formula1>
          <xm:sqref>A2:A500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41F6-0AB3-4744-8F61-1E37AD50F086}">
  <sheetPr codeName="Sheet8">
    <tabColor rgb="FFFFFF00"/>
    <pageSetUpPr fitToPage="1"/>
  </sheetPr>
  <dimension ref="A1:G33"/>
  <sheetViews>
    <sheetView rightToLeft="1" view="pageBreakPreview" topLeftCell="A17" zoomScale="82" zoomScaleNormal="100" zoomScaleSheetLayoutView="82" workbookViewId="0">
      <selection activeCell="A24" sqref="A24"/>
    </sheetView>
  </sheetViews>
  <sheetFormatPr defaultRowHeight="18.75" x14ac:dyDescent="0.3"/>
  <cols>
    <col min="1" max="1" width="94.85546875" style="1" customWidth="1"/>
    <col min="2" max="2" width="26.7109375" style="18" customWidth="1"/>
    <col min="3" max="3" width="19.140625" style="4" customWidth="1"/>
    <col min="4" max="4" width="30.28515625" style="4" customWidth="1"/>
    <col min="5" max="5" width="3.85546875" style="4" customWidth="1"/>
    <col min="6" max="6" width="8.42578125" style="4" bestFit="1" customWidth="1"/>
    <col min="7" max="7" width="13.5703125" style="4" customWidth="1"/>
    <col min="8" max="16384" width="9.140625" style="4"/>
  </cols>
  <sheetData>
    <row r="1" spans="1:7" x14ac:dyDescent="0.3">
      <c r="A1" s="13"/>
      <c r="B1" s="17"/>
      <c r="C1" s="33"/>
      <c r="D1" s="34"/>
      <c r="E1" s="34"/>
      <c r="F1" s="34"/>
      <c r="G1" s="35"/>
    </row>
    <row r="2" spans="1:7" ht="23.25" x14ac:dyDescent="0.6">
      <c r="A2" s="49"/>
      <c r="C2" s="36"/>
      <c r="D2" s="38" t="str">
        <f>"تقييم الأداء السنوي للموظف–" &amp; B4 &amp; CHAR(10) &amp;
"النتيجة: " &amp; TEXT(B11*100,"0") &amp; "% (" &amp; B12 &amp; ")"</f>
        <v>تقييم الأداء السنوي للموظف–ايهاب محمد خميس حمد
النتيجة: 80% (جيد جداً)</v>
      </c>
      <c r="E2" s="36"/>
      <c r="F2" s="36"/>
      <c r="G2" s="37"/>
    </row>
    <row r="3" spans="1:7" ht="33" customHeight="1" x14ac:dyDescent="0.3">
      <c r="A3" s="14"/>
      <c r="C3" s="36"/>
      <c r="D3" s="36"/>
      <c r="E3" s="36"/>
      <c r="F3" s="36"/>
      <c r="G3" s="37"/>
    </row>
    <row r="4" spans="1:7" x14ac:dyDescent="0.3">
      <c r="A4" s="3" t="s">
        <v>155</v>
      </c>
      <c r="B4" s="20" t="s">
        <v>36</v>
      </c>
      <c r="C4" s="36"/>
      <c r="D4" s="36"/>
      <c r="E4" s="36"/>
      <c r="F4" s="36"/>
      <c r="G4" s="37"/>
    </row>
    <row r="5" spans="1:7" ht="21" customHeight="1" x14ac:dyDescent="0.3">
      <c r="A5" s="3" t="s">
        <v>156</v>
      </c>
      <c r="B5" s="20" t="str">
        <f>IFERROR(_xlfn.XLOOKUP($B$4,EMPLOYEES!$A:$A,EMPLOYEES!$B:$B),"")</f>
        <v>منسق موارد بشرية</v>
      </c>
      <c r="C5" s="36"/>
      <c r="D5" s="36"/>
      <c r="E5" s="36"/>
      <c r="F5" s="36"/>
      <c r="G5" s="37"/>
    </row>
    <row r="6" spans="1:7" x14ac:dyDescent="0.3">
      <c r="A6" s="3" t="s">
        <v>157</v>
      </c>
      <c r="B6" s="20" t="str">
        <f>INPUT!B5</f>
        <v>الموارد البشرية</v>
      </c>
      <c r="C6" s="36"/>
      <c r="D6" s="36"/>
      <c r="E6" s="36"/>
      <c r="F6" s="36"/>
      <c r="G6" s="37"/>
    </row>
    <row r="7" spans="1:7" x14ac:dyDescent="0.3">
      <c r="A7" s="3" t="s">
        <v>158</v>
      </c>
      <c r="B7" s="43">
        <f>INPUT!$E$2</f>
        <v>2025</v>
      </c>
      <c r="C7" s="36"/>
      <c r="D7" s="36"/>
      <c r="E7" s="36"/>
      <c r="F7" s="36"/>
      <c r="G7" s="37"/>
    </row>
    <row r="8" spans="1:7" x14ac:dyDescent="0.3">
      <c r="A8" s="3" t="s">
        <v>159</v>
      </c>
      <c r="B8" s="20" t="str">
        <f>INPUT!B4</f>
        <v>زياد المعايعة</v>
      </c>
      <c r="C8" s="36"/>
      <c r="D8" s="36"/>
      <c r="E8" s="36"/>
      <c r="F8" s="36"/>
      <c r="G8" s="37"/>
    </row>
    <row r="9" spans="1:7" ht="19.5" thickBot="1" x14ac:dyDescent="0.35">
      <c r="A9" s="74" t="s">
        <v>160</v>
      </c>
      <c r="B9" s="75">
        <f ca="1">TODAY()</f>
        <v>46135</v>
      </c>
      <c r="C9" s="36"/>
      <c r="D9" s="36"/>
      <c r="E9" s="36"/>
      <c r="F9" s="36"/>
      <c r="G9" s="37"/>
    </row>
    <row r="10" spans="1:7" ht="20.25" thickBot="1" x14ac:dyDescent="0.35">
      <c r="A10" s="246" t="s">
        <v>338</v>
      </c>
      <c r="B10" s="247"/>
      <c r="C10" s="77"/>
      <c r="D10" s="36"/>
      <c r="E10" s="36"/>
      <c r="F10" s="36"/>
      <c r="G10" s="37"/>
    </row>
    <row r="11" spans="1:7" x14ac:dyDescent="0.3">
      <c r="A11" s="82" t="s">
        <v>161</v>
      </c>
      <c r="B11" s="76">
        <f>IFERROR(AVERAGEIFS(AUTO_MONTHLY!$C:$C,AUTO_MONTHLY!$A:$A,$B$4,AUTO_MONTHLY!$C:$C,"&gt;0"),0)</f>
        <v>0.8</v>
      </c>
      <c r="C11" s="36"/>
      <c r="D11" s="36"/>
      <c r="E11" s="36"/>
      <c r="F11" s="36"/>
      <c r="G11" s="37"/>
    </row>
    <row r="12" spans="1:7" x14ac:dyDescent="0.3">
      <c r="A12" s="46" t="s">
        <v>162</v>
      </c>
      <c r="B12" s="78" t="str">
        <f>IF(B11=0,"",
 IF(B11*100&lt;60,"ضعيف",
 IF(B11*100&lt;70,"متوسط",
 IF(B11*100&lt;80,"جيد",
 IF(B11*100&lt;90,"جيد جداً",
 "ممتاز")))))</f>
        <v>جيد جداً</v>
      </c>
      <c r="C12" s="77"/>
      <c r="D12" s="36"/>
      <c r="E12" s="36"/>
      <c r="F12" s="36"/>
      <c r="G12" s="37"/>
    </row>
    <row r="13" spans="1:7" ht="19.5" thickBot="1" x14ac:dyDescent="0.35">
      <c r="A13" s="80" t="s">
        <v>163</v>
      </c>
      <c r="B13" s="79">
        <f>COUNTIFS(AUTO_MONTHLY!$A:$A,$B$4,AUTO_MONTHLY!$C:$C,"&gt;0")</f>
        <v>1</v>
      </c>
      <c r="C13" s="36"/>
      <c r="D13" s="36"/>
      <c r="E13" s="36"/>
      <c r="F13" s="36"/>
      <c r="G13" s="37"/>
    </row>
    <row r="14" spans="1:7" x14ac:dyDescent="0.3">
      <c r="A14" s="81"/>
      <c r="B14" s="19"/>
      <c r="G14" s="9"/>
    </row>
    <row r="15" spans="1:7" x14ac:dyDescent="0.3">
      <c r="A15" s="14"/>
      <c r="G15" s="9"/>
    </row>
    <row r="16" spans="1:7" s="6" customFormat="1" ht="34.5" x14ac:dyDescent="0.25">
      <c r="A16" s="51" t="s">
        <v>109</v>
      </c>
      <c r="B16" s="42" t="s">
        <v>110</v>
      </c>
      <c r="C16" s="52" t="s">
        <v>114</v>
      </c>
      <c r="E16" s="22" t="s">
        <v>113</v>
      </c>
      <c r="F16" s="30" t="s">
        <v>97</v>
      </c>
      <c r="G16" s="31" t="s">
        <v>111</v>
      </c>
    </row>
    <row r="17" spans="1:7" x14ac:dyDescent="0.3">
      <c r="A17" s="53" t="str" cm="1">
        <f t="array" ref="A17">IFERROR(
  INDEX(KPIs!$B:$B,
    SMALL(
      IF(KPIs!$A:$A=$B$5, ROW(KPIs!$B:$B)),
      ROW(A1)
    )
  ),
"")</f>
        <v>معرفة وتطبيق اللوائح والقوانين (قانون العمل والضمان)</v>
      </c>
      <c r="B17" s="20" cm="1">
        <f t="array" ref="B17">IFERROR(
  _xlfn.XLOOKUP(_xlfn.ANCHORARRAY(
    A17),
    KPIs!$B:$B,
    KPIs!$C:$C
  ),
0)</f>
        <v>10</v>
      </c>
      <c r="C17" s="54" cm="1">
        <f t="array" ref="C17">IFERROR(
  _xlfn.BYROW(_xlfn.ANCHORARRAY(
    A17),
    _xlfn.LAMBDA(_xlpm.k,
      AVERAGEIFS(
        DATA!$E:$E,
        DATA!$A:$A,$B$4,
        DATA!$C:$C,_xlpm.k
      )
    )
  ),
0)</f>
        <v>10</v>
      </c>
      <c r="D17" s="10"/>
      <c r="E17" s="5">
        <v>1</v>
      </c>
      <c r="F17" s="3" t="s">
        <v>327</v>
      </c>
      <c r="G17" s="28" cm="1">
        <f t="array" ref="G17">IFERROR(_xlfn._xlws.FILTER(AUTO_MONTHLY!$C:$C,(AUTO_MONTHLY!$A:$A=$B$4)*(AUTO_MONTHLY!$C:$C&gt;0)),"")</f>
        <v>0.8</v>
      </c>
    </row>
    <row r="18" spans="1:7" x14ac:dyDescent="0.3">
      <c r="A18" s="53" t="str" cm="1">
        <f t="array" ref="A18">IFERROR(
  INDEX(KPIs!$B:$B,
    SMALL(
      IF(KPIs!$A:$A=$B$5, ROW(KPIs!$B:$B)),
      ROW(A2)
    )
  ),
"")</f>
        <v>إدارة وتنظيم الملفات والسجلات وسهولة الرجوع إليها</v>
      </c>
      <c r="B18" s="20" cm="1">
        <f t="array" ref="B18">IFERROR(
  _xlfn.XLOOKUP(_xlfn.ANCHORARRAY(
    A18),
    KPIs!$B:$B,
    KPIs!$C:$C
  ),
0)</f>
        <v>9</v>
      </c>
      <c r="C18" s="54">
        <f>IFERROR(AVERAGEIFS(DATA!$E:$E,DATA!$A:$A,$B$4,DATA!$C:$C,$A18),0)</f>
        <v>9</v>
      </c>
      <c r="D18" s="10"/>
      <c r="E18" s="5">
        <v>2</v>
      </c>
      <c r="F18" s="3" t="s">
        <v>328</v>
      </c>
      <c r="G18" s="28"/>
    </row>
    <row r="19" spans="1:7" x14ac:dyDescent="0.3">
      <c r="A19" s="53" t="str" cm="1">
        <f t="array" ref="A19">IFERROR(
  INDEX(KPIs!$B:$B,
    SMALL(
      IF(KPIs!$A:$A=$B$5, ROW(KPIs!$B:$B)),
      ROW(A3)
    )
  ),
"")</f>
        <v>السرعة والدقة والإنتاجية في إنجاز العمل</v>
      </c>
      <c r="B19" s="20" cm="1">
        <f t="array" ref="B19">IFERROR(
  _xlfn.XLOOKUP(_xlfn.ANCHORARRAY(
    A19),
    KPIs!$B:$B,
    KPIs!$C:$C
  ),
0)</f>
        <v>9</v>
      </c>
      <c r="C19" s="54">
        <f>IFERROR(AVERAGEIFS(DATA!$E:$E,DATA!$A:$A,$B$4,DATA!$C:$C,$A19),0)</f>
        <v>9</v>
      </c>
      <c r="D19" s="10"/>
      <c r="E19" s="5">
        <v>3</v>
      </c>
      <c r="F19" s="3" t="s">
        <v>329</v>
      </c>
      <c r="G19" s="28"/>
    </row>
    <row r="20" spans="1:7" x14ac:dyDescent="0.3">
      <c r="A20" s="53" t="str" cm="1">
        <f t="array" ref="A20">IFERROR(
  INDEX(KPIs!$B:$B,
    SMALL(
      IF(KPIs!$A:$A=$B$5, ROW(KPIs!$B:$B)),
      ROW(A4)
    )
  ),
"")</f>
        <v>التحليل وإعداد التقارير بدقة واحترافية</v>
      </c>
      <c r="B20" s="20" cm="1">
        <f t="array" ref="B20">IFERROR(
  _xlfn.XLOOKUP(_xlfn.ANCHORARRAY(
    A20),
    KPIs!$B:$B,
    KPIs!$C:$C
  ),
0)</f>
        <v>8</v>
      </c>
      <c r="C20" s="54">
        <f>IFERROR(AVERAGEIFS(DATA!$E:$E,DATA!$A:$A,$B$4,DATA!$C:$C,$A20),0)</f>
        <v>8</v>
      </c>
      <c r="D20" s="10"/>
      <c r="E20" s="5">
        <v>4</v>
      </c>
      <c r="F20" s="3" t="s">
        <v>330</v>
      </c>
      <c r="G20" s="28"/>
    </row>
    <row r="21" spans="1:7" x14ac:dyDescent="0.3">
      <c r="A21" s="53" t="str" cm="1">
        <f t="array" ref="A21">IFERROR(
  INDEX(KPIs!$B:$B,
    SMALL(
      IF(KPIs!$A:$A=$B$5, ROW(KPIs!$B:$B)),
      ROW(A5)
    )
  ),
"")</f>
        <v>الالتزام بأخلاقيات العمل والحياد والمسؤولية</v>
      </c>
      <c r="B21" s="20" cm="1">
        <f t="array" ref="B21">IFERROR(
  _xlfn.XLOOKUP(_xlfn.ANCHORARRAY(
    A21),
    KPIs!$B:$B,
    KPIs!$C:$C
  ),
0)</f>
        <v>8</v>
      </c>
      <c r="C21" s="54">
        <f>IFERROR(AVERAGEIFS(DATA!$E:$E,DATA!$A:$A,$B$4,DATA!$C:$C,$A21),0)</f>
        <v>8</v>
      </c>
      <c r="D21" s="10"/>
      <c r="E21" s="5">
        <v>5</v>
      </c>
      <c r="F21" s="3" t="s">
        <v>84</v>
      </c>
      <c r="G21" s="28"/>
    </row>
    <row r="22" spans="1:7" x14ac:dyDescent="0.3">
      <c r="A22" s="53" t="str" cm="1">
        <f t="array" ref="A22">IFERROR(
  INDEX(KPIs!$B:$B,
    SMALL(
      IF(KPIs!$A:$A=$B$5, ROW(KPIs!$B:$B)),
      ROW(A6)
    )
  ),
"")</f>
        <v>الالتزام بمتطلبات السلامة العامة داخل بيئة العمل</v>
      </c>
      <c r="B22" s="20" cm="1">
        <f t="array" ref="B22">IFERROR(
  _xlfn.XLOOKUP(_xlfn.ANCHORARRAY(
    A22),
    KPIs!$B:$B,
    KPIs!$C:$C
  ),
0)</f>
        <v>7</v>
      </c>
      <c r="C22" s="54">
        <f>IFERROR(AVERAGEIFS(DATA!$E:$E,DATA!$A:$A,$B$4,DATA!$C:$C,$A22),0)</f>
        <v>7</v>
      </c>
      <c r="D22" s="10"/>
      <c r="E22" s="5">
        <v>6</v>
      </c>
      <c r="F22" s="3" t="s">
        <v>331</v>
      </c>
      <c r="G22" s="28"/>
    </row>
    <row r="23" spans="1:7" x14ac:dyDescent="0.3">
      <c r="A23" s="53" t="str" cm="1">
        <f t="array" ref="A23">IFERROR(
  INDEX(KPIs!$B:$B,
    SMALL(
      IF(KPIs!$A:$A=$B$5, ROW(KPIs!$B:$B)),
      ROW(A7)
    )
  ),
"")</f>
        <v>المبادرة واقتراح التحسينات وحل المشكلات</v>
      </c>
      <c r="B23" s="20" cm="1">
        <f t="array" ref="B23">IFERROR(
  _xlfn.XLOOKUP(_xlfn.ANCHORARRAY(
    A23),
    KPIs!$B:$B,
    KPIs!$C:$C
  ),
0)</f>
        <v>8</v>
      </c>
      <c r="C23" s="54">
        <f>IFERROR(AVERAGEIFS(DATA!$E:$E,DATA!$A:$A,$B$4,DATA!$C:$C,$A23),0)</f>
        <v>8</v>
      </c>
      <c r="D23" s="10"/>
      <c r="E23" s="5">
        <v>7</v>
      </c>
      <c r="F23" s="3" t="s">
        <v>332</v>
      </c>
      <c r="G23" s="28"/>
    </row>
    <row r="24" spans="1:7" x14ac:dyDescent="0.3">
      <c r="A24" s="53" t="str" cm="1">
        <f t="array" ref="A24">IFERROR(
  INDEX(KPIs!$B:$B,
    SMALL(
      IF(KPIs!$A:$A=$B$5, ROW(KPIs!$B:$B)),
      ROW(A8)
    )
  ),
"")</f>
        <v>التواصل الفعّال والتعامل المهني (رؤساء، زملاء، عملاء، موظفين جدد)</v>
      </c>
      <c r="B24" s="20" cm="1">
        <f t="array" ref="B24">IFERROR(
  _xlfn.XLOOKUP(_xlfn.ANCHORARRAY(
    A24),
    KPIs!$B:$B,
    KPIs!$C:$C
  ),
0)</f>
        <v>7</v>
      </c>
      <c r="C24" s="54">
        <f>IFERROR(AVERAGEIFS(DATA!$E:$E,DATA!$A:$A,$B$4,DATA!$C:$C,$A24),0)</f>
        <v>7</v>
      </c>
      <c r="D24" s="10"/>
      <c r="E24" s="5">
        <v>8</v>
      </c>
      <c r="F24" s="3" t="s">
        <v>333</v>
      </c>
      <c r="G24" s="28"/>
    </row>
    <row r="25" spans="1:7" x14ac:dyDescent="0.3">
      <c r="A25" s="53" t="str" cm="1">
        <f t="array" ref="A25">IFERROR(
  INDEX(KPIs!$B:$B,
    SMALL(
      IF(KPIs!$A:$A=$B$5, ROW(KPIs!$B:$B)),
      ROW(A9)
    )
  ),
"")</f>
        <v>تحمل ضغط العمل وتنظيم الأولويات وتحمل النتائج</v>
      </c>
      <c r="B25" s="20" cm="1">
        <f t="array" ref="B25">IFERROR(
  _xlfn.XLOOKUP(_xlfn.ANCHORARRAY(
    A25),
    KPIs!$B:$B,
    KPIs!$C:$C
  ),
0)</f>
        <v>7</v>
      </c>
      <c r="C25" s="54">
        <f>IFERROR(AVERAGEIFS(DATA!$E:$E,DATA!$A:$A,$B$4,DATA!$C:$C,$A25),0)</f>
        <v>7</v>
      </c>
      <c r="D25" s="10"/>
      <c r="E25" s="5">
        <v>9</v>
      </c>
      <c r="F25" s="3" t="s">
        <v>334</v>
      </c>
      <c r="G25" s="28"/>
    </row>
    <row r="26" spans="1:7" ht="19.5" thickBot="1" x14ac:dyDescent="0.35">
      <c r="A26" s="45" t="str" cm="1">
        <f t="array" ref="A26">IFERROR(
  INDEX(KPIs!$B:$B,
    SMALL(
      IF(KPIs!$A:$A=$B$5, ROW(KPIs!$B:$B)),
      ROW(A10)
    )
  ),
"")</f>
        <v>نقل المعرفة وتدريب الآخرين ودعم الفريق</v>
      </c>
      <c r="B26" s="45" cm="1">
        <f t="array" ref="B26">IFERROR(
  _xlfn.XLOOKUP(_xlfn.ANCHORARRAY(
    A26),
    KPIs!$B:$B,
    KPIs!$C:$C
  ),
0)</f>
        <v>7</v>
      </c>
      <c r="C26" s="55">
        <f>IFERROR(AVERAGEIFS(DATA!$E:$E,DATA!$A:$A,$B$4,DATA!$C:$C,$A26),0)</f>
        <v>7</v>
      </c>
      <c r="D26" s="10"/>
      <c r="E26" s="5">
        <v>10</v>
      </c>
      <c r="F26" s="3" t="s">
        <v>335</v>
      </c>
      <c r="G26" s="28"/>
    </row>
    <row r="27" spans="1:7" ht="18.75" customHeight="1" x14ac:dyDescent="0.3">
      <c r="A27" s="225" t="s">
        <v>325</v>
      </c>
      <c r="B27" s="226"/>
      <c r="C27" s="227"/>
      <c r="D27" s="10"/>
      <c r="E27" s="5">
        <v>11</v>
      </c>
      <c r="F27" s="3" t="s">
        <v>336</v>
      </c>
      <c r="G27" s="28"/>
    </row>
    <row r="28" spans="1:7" ht="18.75" customHeight="1" thickBot="1" x14ac:dyDescent="0.35">
      <c r="A28" s="228"/>
      <c r="B28" s="229"/>
      <c r="C28" s="230"/>
      <c r="D28" s="10"/>
      <c r="E28" s="44">
        <v>12</v>
      </c>
      <c r="F28" s="3" t="s">
        <v>337</v>
      </c>
      <c r="G28" s="50"/>
    </row>
    <row r="29" spans="1:7" ht="18.75" customHeight="1" x14ac:dyDescent="0.25">
      <c r="A29" s="231" t="s">
        <v>324</v>
      </c>
      <c r="B29" s="232"/>
      <c r="C29" s="233"/>
      <c r="D29" s="240" t="s">
        <v>326</v>
      </c>
      <c r="E29" s="241"/>
      <c r="F29" s="241"/>
      <c r="G29" s="242"/>
    </row>
    <row r="30" spans="1:7" ht="15.75" thickBot="1" x14ac:dyDescent="0.3">
      <c r="A30" s="234"/>
      <c r="B30" s="235"/>
      <c r="C30" s="236"/>
      <c r="D30" s="243"/>
      <c r="E30" s="244"/>
      <c r="F30" s="244"/>
      <c r="G30" s="245"/>
    </row>
    <row r="31" spans="1:7" ht="22.5" customHeight="1" thickBot="1" x14ac:dyDescent="0.3">
      <c r="A31" s="237"/>
      <c r="B31" s="238"/>
      <c r="C31" s="239"/>
      <c r="D31" s="10"/>
      <c r="G31" s="9"/>
    </row>
    <row r="32" spans="1:7" x14ac:dyDescent="0.3">
      <c r="A32" s="47" t="s">
        <v>153</v>
      </c>
      <c r="B32" s="177" t="str">
        <f>B8</f>
        <v>زياد المعايعة</v>
      </c>
      <c r="C32" s="39" t="s">
        <v>96</v>
      </c>
      <c r="D32" s="21" t="str">
        <f>B4</f>
        <v>ايهاب محمد خميس حمد</v>
      </c>
      <c r="G32" s="9"/>
    </row>
    <row r="33" spans="1:7" ht="19.5" thickBot="1" x14ac:dyDescent="0.35">
      <c r="A33" s="48" t="s">
        <v>154</v>
      </c>
      <c r="B33" s="20"/>
      <c r="C33" s="32" t="s">
        <v>112</v>
      </c>
      <c r="D33" s="16"/>
      <c r="E33" s="11"/>
      <c r="F33" s="11"/>
      <c r="G33" s="12"/>
    </row>
  </sheetData>
  <mergeCells count="4">
    <mergeCell ref="A27:C28"/>
    <mergeCell ref="A29:C31"/>
    <mergeCell ref="D29:G30"/>
    <mergeCell ref="A10:B10"/>
  </mergeCells>
  <pageMargins left="0.7" right="0.7" top="0.75" bottom="0.75" header="0.3" footer="0.3"/>
  <pageSetup paperSize="9" scale="6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Button 7">
              <controlPr defaultSize="0" print="0" autoFill="0" autoPict="0" macro="[0]!Button2_Click">
                <anchor moveWithCells="1">
                  <from>
                    <xdr:col>5</xdr:col>
                    <xdr:colOff>428625</xdr:colOff>
                    <xdr:row>30</xdr:row>
                    <xdr:rowOff>0</xdr:rowOff>
                  </from>
                  <to>
                    <xdr:col>6</xdr:col>
                    <xdr:colOff>676275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Button 8">
              <controlPr defaultSize="0" print="0" autoFill="0" autoPict="0" macro="[0]!Button2_Click">
                <anchor moveWithCells="1">
                  <from>
                    <xdr:col>5</xdr:col>
                    <xdr:colOff>219075</xdr:colOff>
                    <xdr:row>31</xdr:row>
                    <xdr:rowOff>19050</xdr:rowOff>
                  </from>
                  <to>
                    <xdr:col>6</xdr:col>
                    <xdr:colOff>790575</xdr:colOff>
                    <xdr:row>32</xdr:row>
                    <xdr:rowOff>142875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4CD756-C0B7-46E8-8BA9-3A96781D7F72}">
          <x14:formula1>
            <xm:f>EMPLOYEES!$A$2:$A$196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تنبيه</vt:lpstr>
      <vt:lpstr>KPI_ACC</vt:lpstr>
      <vt:lpstr>KPI_HR</vt:lpstr>
      <vt:lpstr>KPI_محاسب</vt:lpstr>
      <vt:lpstr>KPI_منسق</vt:lpstr>
      <vt:lpstr>KPI_منسق_موارد_بشرية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Employee Fannoun</cp:lastModifiedBy>
  <cp:lastPrinted>2026-03-25T10:46:32Z</cp:lastPrinted>
  <dcterms:created xsi:type="dcterms:W3CDTF">2026-01-19T14:50:28Z</dcterms:created>
  <dcterms:modified xsi:type="dcterms:W3CDTF">2026-04-23T09:45:27Z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ctivationDate">
    <vt:filetime>2026-03-31T11:10:13Z</vt:filetime>
  </property>
</Properties>
</file>